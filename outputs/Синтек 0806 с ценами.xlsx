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la\Documents\Codex\2026-06-02\files-mentioned-by-the-user-02\outputs\"/>
    </mc:Choice>
  </mc:AlternateContent>
  <xr:revisionPtr revIDLastSave="0" documentId="13_ncr:1_{1DA5DFFD-32A4-4433-9AD7-61CAC55709F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СПС СОУЭ АСПЗ" sheetId="1" r:id="rId1"/>
    <sheet name="АСПЗ АДУ" sheetId="2" r:id="rId2"/>
    <sheet name="АУП ПП" sheetId="3" r:id="rId3"/>
    <sheet name="Отчет сопоставления" sheetId="4" r:id="rId4"/>
  </sheets>
  <definedNames>
    <definedName name="_xlnm._FilterDatabase" localSheetId="3" hidden="1">'Отчет сопоставления'!$A$1:$P$177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90" i="1" l="1"/>
  <c r="K91" i="1"/>
  <c r="K95" i="1"/>
  <c r="K97" i="1"/>
  <c r="K98" i="1"/>
  <c r="K100" i="1"/>
  <c r="K101" i="1" s="1"/>
  <c r="K65" i="3"/>
  <c r="K64" i="3"/>
  <c r="K67" i="3" s="1"/>
  <c r="K68" i="3" s="1"/>
  <c r="K62" i="3"/>
  <c r="J61" i="3"/>
  <c r="K61" i="3" s="1"/>
  <c r="J60" i="3"/>
  <c r="K60" i="3" s="1"/>
  <c r="J59" i="3"/>
  <c r="K59" i="3" s="1"/>
  <c r="J58" i="3"/>
  <c r="K58" i="3" s="1"/>
  <c r="K57" i="3"/>
  <c r="K26" i="2"/>
  <c r="K28" i="2" s="1"/>
  <c r="K29" i="2" s="1"/>
  <c r="K25" i="2"/>
  <c r="K23" i="2"/>
  <c r="J22" i="2"/>
  <c r="K22" i="2" s="1"/>
  <c r="J21" i="2"/>
  <c r="K21" i="2" s="1"/>
  <c r="J20" i="2"/>
  <c r="K20" i="2" s="1"/>
  <c r="J19" i="2"/>
  <c r="K19" i="2" s="1"/>
  <c r="K18" i="2"/>
  <c r="K24" i="2" s="1"/>
  <c r="K27" i="2" s="1"/>
  <c r="J94" i="1"/>
  <c r="K94" i="1" s="1"/>
  <c r="J93" i="1"/>
  <c r="K93" i="1" s="1"/>
  <c r="J92" i="1"/>
  <c r="K92" i="1" s="1"/>
  <c r="K96" i="1" s="1"/>
  <c r="K99" i="1" s="1"/>
  <c r="J91" i="1"/>
  <c r="K63" i="3" l="1"/>
  <c r="K66" i="3" s="1"/>
</calcChain>
</file>

<file path=xl/sharedStrings.xml><?xml version="1.0" encoding="utf-8"?>
<sst xmlns="http://schemas.openxmlformats.org/spreadsheetml/2006/main" count="2181" uniqueCount="402">
  <si>
    <t>поз.</t>
  </si>
  <si>
    <t>Наименование</t>
  </si>
  <si>
    <t>Тип / код / артикул</t>
  </si>
  <si>
    <t>Изготовитель</t>
  </si>
  <si>
    <t>Ед.</t>
  </si>
  <si>
    <t>Кол-во</t>
  </si>
  <si>
    <t>Примечание</t>
  </si>
  <si>
    <t>Контроллер двухпроводной линии связи</t>
  </si>
  <si>
    <t>С2000-КДЛ</t>
  </si>
  <si>
    <t>ЗАО НВП «Болид»</t>
  </si>
  <si>
    <t>шт.</t>
  </si>
  <si>
    <t>Цена из базы: РВС | Контроллер двухпроводной линии связи | С2000-КДЛ-2И. Обновлено 2026-06-08 17:07. Источник был с НДС, пересчитано в без НДС / 1,22.</t>
  </si>
  <si>
    <t>Контрольно-пусковой блок</t>
  </si>
  <si>
    <t>С2000-КПБ</t>
  </si>
  <si>
    <t>Блок сигнально-пусковой адресный</t>
  </si>
  <si>
    <t>С2000-СП2</t>
  </si>
  <si>
    <t>Цена из базы: ОТС | Блок сигнально-пусковой | С2000-СП2. Обновлено 2026-06-08 17:07.</t>
  </si>
  <si>
    <t>Блок индикации системы пожаротушения</t>
  </si>
  <si>
    <t>С2000-ПТ 2RS485</t>
  </si>
  <si>
    <t>Цена из базы: АПС | Блок управления | С2000-ПТ. Обновлено 2026-06-08 17:07.</t>
  </si>
  <si>
    <t>Извещатель пожарный дымовой оптико-электронный адресно-аналоговый</t>
  </si>
  <si>
    <t>ДИП-34А-04</t>
  </si>
  <si>
    <t>Цена из базы: АПС | Извещатель дымовой адресный | ДИП-34А-04. Обновлено 2026-06-08 17:07.</t>
  </si>
  <si>
    <t>Извещатель пожарный тепловой максимально-дифференциальный адресно-аналоговый</t>
  </si>
  <si>
    <t>С2000-ИП-03</t>
  </si>
  <si>
    <t>Извещатель пожарный дымовой оптико-электронный линейный</t>
  </si>
  <si>
    <t>С2000-ИПДЛ исп.60</t>
  </si>
  <si>
    <t>Извещатель пожарный ручной адресный</t>
  </si>
  <si>
    <t>ИПР 513-3АМ исп.01</t>
  </si>
  <si>
    <t>Цена из базы: АПС | Извещатель пожарный ручной | ИПР 513-3АМ исп.01. Обновлено 2026-06-08 17:07.</t>
  </si>
  <si>
    <t>Блок разветвительно-изолирующий</t>
  </si>
  <si>
    <t>БРИЗ</t>
  </si>
  <si>
    <t>Модуль подключения нагрузки</t>
  </si>
  <si>
    <t>МПН</t>
  </si>
  <si>
    <t>Цена из базы: АПС | Модуль нагрузки | МПН. Обновлено 2026-06-08 17:07.</t>
  </si>
  <si>
    <t>Шкаф пожарной сигнализации</t>
  </si>
  <si>
    <t>ШПС-24 исп.10</t>
  </si>
  <si>
    <t>Цена из базы: ОТС | Шкаф пожарной сигнализации | ШПС-24 исп.10. Обновлено 2026-06-08 17:07.</t>
  </si>
  <si>
    <t>Резервированный источник питания</t>
  </si>
  <si>
    <t>РИП-24 исп.56</t>
  </si>
  <si>
    <t>Цена из базы: АПС | Источник питания резервированный | РИП-24 исп.56. Обновлено 2026-06-08 17:07.</t>
  </si>
  <si>
    <t>РИП-24 исп.51</t>
  </si>
  <si>
    <t>Цена из базы: ОТС | Источник питания резервированный | РИП-24 исп.51. Обновлено 2026-06-08 17:07.</t>
  </si>
  <si>
    <t>Кронштейн для крепления рефлекторов-отражателей и извещателей «С2000-ИПДЛ» к металлическим балкам</t>
  </si>
  <si>
    <t>Держатель 152</t>
  </si>
  <si>
    <t>ООО «ДИП-Интеллект», г. Обнинск</t>
  </si>
  <si>
    <t>Цена из базы: Протей | Держатель 152 | Держатель 152 / код Тинко 325362. Обновлено 2026-06-08 17:07. Источник был с НДС, пересчитано в без НДС / 1,22.</t>
  </si>
  <si>
    <t>Кронштейн юстировочный</t>
  </si>
  <si>
    <t>Кронштейн 152</t>
  </si>
  <si>
    <t>Извещатель пожарный пламени адресный</t>
  </si>
  <si>
    <t>С2000-Спектрон-607</t>
  </si>
  <si>
    <t>ООО «НПО „Спектрон“»</t>
  </si>
  <si>
    <t>Оповещатель пожарный световой «ВЫХОД»</t>
  </si>
  <si>
    <t>Молния-24</t>
  </si>
  <si>
    <t>ООО «Вистл»</t>
  </si>
  <si>
    <t>Оповещатель пожарный световой «Направление движения (стрелка)»</t>
  </si>
  <si>
    <t>Оповещатель охранно-пожарный комбинированный</t>
  </si>
  <si>
    <t>Гром-24КП 110 дБ</t>
  </si>
  <si>
    <t>Оповещатель охранно-пожарный звуковой</t>
  </si>
  <si>
    <t>Флейта-24 110 дБ</t>
  </si>
  <si>
    <t>Аккумулятор 12 В, 7 А/ч</t>
  </si>
  <si>
    <t>Китай</t>
  </si>
  <si>
    <t>Аккумулятор 12 В, 17 А/ч</t>
  </si>
  <si>
    <t>Цена из базы: СКУД | Аккумулятор 12 В, 17 Ач | —. Обновлено 2026-06-08 17:07.</t>
  </si>
  <si>
    <t>Аккумулятор 12 В, 26 А/ч</t>
  </si>
  <si>
    <t>Кабель монтажный гибкий, парной скрутки, с медными жилами, с изоляцией и оболочкой из поливинилхлоридного пластиката, огнестойкий с низким дымо- и газовыделением, экранированный</t>
  </si>
  <si>
    <t>КПСЭнг(А)-FRLS 1x2x0.75</t>
  </si>
  <si>
    <t>ООО «ТД Технокабель-НН»</t>
  </si>
  <si>
    <t>м</t>
  </si>
  <si>
    <t>КПСЭнг(А)-FRLS 2x2x0.5</t>
  </si>
  <si>
    <t>Кабель силовой огнестойкий, не распространяющий горение, не содержащий галогенов</t>
  </si>
  <si>
    <t>ВВГнг(А)-FRLS 3x1,5</t>
  </si>
  <si>
    <t>ООО «Калужский кабельный завод»</t>
  </si>
  <si>
    <t>Труба гофрированная ПВХ легкая</t>
  </si>
  <si>
    <t>D=20мм</t>
  </si>
  <si>
    <t>«Промрукав»</t>
  </si>
  <si>
    <t>Комплект для крепления ОКЛ с использованием самореза, дюбеля и скобы</t>
  </si>
  <si>
    <t>СМО 19-20 (100 шт.)</t>
  </si>
  <si>
    <t>уп.</t>
  </si>
  <si>
    <t>Лоток перфорированный Профи</t>
  </si>
  <si>
    <t>100x50x3000 (1,0 мм)</t>
  </si>
  <si>
    <t>Комплект соединительный</t>
  </si>
  <si>
    <t>(Винт М6x10+гайка М6) (100 шт/уп)</t>
  </si>
  <si>
    <t>Стяжки кабельные стальные СКС</t>
  </si>
  <si>
    <t>4,6x200 (100 шт/уп)</t>
  </si>
  <si>
    <t>Струбцина монтажная с резьбой под шпильку оц. чугун</t>
  </si>
  <si>
    <t>М8</t>
  </si>
  <si>
    <t>Шпилька резьбовая оц. сталь</t>
  </si>
  <si>
    <t>М8x2000 мм</t>
  </si>
  <si>
    <t>Шпилька высокопрочная оц. сталь</t>
  </si>
  <si>
    <t>М6x1000 мм</t>
  </si>
  <si>
    <t>Гайка соединительная шестигранная оц. сталь</t>
  </si>
  <si>
    <t>М8x50 мм</t>
  </si>
  <si>
    <t>Гайка шестигранная оцинкованная сталь</t>
  </si>
  <si>
    <t>Гайка самоконтрящаяся со стопорным кольцом оц. сталь</t>
  </si>
  <si>
    <t>М6</t>
  </si>
  <si>
    <t>Шайба усиленная</t>
  </si>
  <si>
    <t>Профиль перфорированный без зубцов оцинкованный</t>
  </si>
  <si>
    <t>41x21x1,5x3000 мм</t>
  </si>
  <si>
    <t>Пластина крепежная перфорированная оцинкованная</t>
  </si>
  <si>
    <t>100x200x2 мм</t>
  </si>
  <si>
    <t>140x55x2 мм</t>
  </si>
  <si>
    <t>Пена монтажная огнестойкая</t>
  </si>
  <si>
    <t>Автомат однополюсный с боксом</t>
  </si>
  <si>
    <t>6А</t>
  </si>
  <si>
    <t>Блок речевого оповещения</t>
  </si>
  <si>
    <t>«Рупор-300»</t>
  </si>
  <si>
    <t>Цена из базы: АПС | Блок речевого оповещения | Рупор-300. Обновлено 2026-06-08 17:07.</t>
  </si>
  <si>
    <t>Адресный модуль контроля линий</t>
  </si>
  <si>
    <t>«Рупор-300-МК»</t>
  </si>
  <si>
    <t>Устройство дистанционного пуска пожаротушения адресное</t>
  </si>
  <si>
    <t>УДП 513-3АМ</t>
  </si>
  <si>
    <t>Цена из базы: АПС | Устройство дистанционного пуска | УДП 513-3АМ. Обновлено 2026-06-08 17:07.</t>
  </si>
  <si>
    <t>Устройство принудительного пуска спринклерных оросителей</t>
  </si>
  <si>
    <t>УПП «Старт-1»</t>
  </si>
  <si>
    <t>ЗАО «ПО „Спецавтоматика“»</t>
  </si>
  <si>
    <t>ООО «ДИП-Интеллект»</t>
  </si>
  <si>
    <t>Громкоговоритель рупорный трансляционный 100 Вт</t>
  </si>
  <si>
    <t>SHS-100TA</t>
  </si>
  <si>
    <t>Sonar</t>
  </si>
  <si>
    <t>Громкоговоритель рупорный трансляционный 50 Вт</t>
  </si>
  <si>
    <t>SHS-50T</t>
  </si>
  <si>
    <t>Громкоговоритель рупорный трансляционный 15 Вт</t>
  </si>
  <si>
    <t>SHS-15T</t>
  </si>
  <si>
    <t>Щит распределительный навесной с монтажной панелью</t>
  </si>
  <si>
    <t>ЩРНМ-5 1000x650x285, IP31; ФР-00025137</t>
  </si>
  <si>
    <t>ЭМ</t>
  </si>
  <si>
    <t>КПСЭнг(А)-FRLS 1x2x1.0</t>
  </si>
  <si>
    <t>КПСЭнг(А)-FRLS 1x2x1.5</t>
  </si>
  <si>
    <t>Комплект для крепления ОКЛ с использованием самореза, дюбеля и заклепки</t>
  </si>
  <si>
    <t>150x80x3000 (1,0 мм)</t>
  </si>
  <si>
    <t>PR16.4669</t>
  </si>
  <si>
    <t>Скоба подвеса лотка сверху 150</t>
  </si>
  <si>
    <t>PR08.2593</t>
  </si>
  <si>
    <t>4,6x300 (100 шт/уп)</t>
  </si>
  <si>
    <t>М8x1000 мм</t>
  </si>
  <si>
    <t>М8x500 мм</t>
  </si>
  <si>
    <t>Болт</t>
  </si>
  <si>
    <t>М8x30 мм</t>
  </si>
  <si>
    <t>Крепление к профнастилу М8</t>
  </si>
  <si>
    <t>Шуруп самосверлящий 4.2x13</t>
  </si>
  <si>
    <t>S-MD01Z</t>
  </si>
  <si>
    <t>Hilti</t>
  </si>
  <si>
    <t>Профиль L=1000мм</t>
  </si>
  <si>
    <t>MT-40</t>
  </si>
  <si>
    <t>Монтажный комплект</t>
  </si>
  <si>
    <t>к-т</t>
  </si>
  <si>
    <t>Прочие расходы</t>
  </si>
  <si>
    <t>Услуги коленчатого электрического подъемника (Haulotte 15 IP)</t>
  </si>
  <si>
    <t>доставка + аренда (60 дн.)</t>
  </si>
  <si>
    <t>Транспортные расходы (3% от материалов)</t>
  </si>
  <si>
    <t>Расходные материалы (2 % от материалов)</t>
  </si>
  <si>
    <t>Пусконаладочные работы (6% от монтажных работ)</t>
  </si>
  <si>
    <t>Непредвиденные расходы (2% от общей стоимости)</t>
  </si>
  <si>
    <t xml:space="preserve">Комплект исполнительной документации </t>
  </si>
  <si>
    <t>Прочее, итого:</t>
  </si>
  <si>
    <t>Итого с НДС, общая стоимость материалов :</t>
  </si>
  <si>
    <t>Итого с НДС, общая стоимость работ:</t>
  </si>
  <si>
    <t>Итого с НДС, прочие расходы</t>
  </si>
  <si>
    <t xml:space="preserve">Всего с НДС, руб. </t>
  </si>
  <si>
    <t>Сумма НДС (22%)</t>
  </si>
  <si>
    <t>ПОДРЯДЧИК:</t>
  </si>
  <si>
    <t>Генеральный директор ООО «АльтЭн»:
___________________/ К.П. Зыбайло
«___» _______________ 2023 г.
____________ 
м.п.</t>
  </si>
  <si>
    <t>Блок индикации с клавиатурой</t>
  </si>
  <si>
    <t>С2000-БКИ 2RS-485</t>
  </si>
  <si>
    <t>Цена из базы: ОТС | Блок индикации с клавиатурой | С2000-БКИ. Обновлено 2026-06-08 17:07.</t>
  </si>
  <si>
    <t>С2000-СП4/220</t>
  </si>
  <si>
    <t>Цена из базы: РВС | Блок сигнально-пусковой адресный | С2000-СП4/220. Обновлено 2026-06-08 17:07. Источник был с НДС, пересчитано в без НДС / 1,22.</t>
  </si>
  <si>
    <t>Адресный расширитель</t>
  </si>
  <si>
    <t>С2000-АР8</t>
  </si>
  <si>
    <t>Устройство коммутационное</t>
  </si>
  <si>
    <t>УК-ВК исп.14</t>
  </si>
  <si>
    <t>Цена из базы: АПС | Устройство коммутационное | УК-ВК исп.14. Обновлено 2026-06-08 17:07.</t>
  </si>
  <si>
    <t>РИП-12 исп.54</t>
  </si>
  <si>
    <t>Реле промежуточное 220В постоянного тока 4ПК 6А CR-M без индикатора без розетки</t>
  </si>
  <si>
    <t>CR-M220DC4 1SVR405613R9000</t>
  </si>
  <si>
    <t>ABB</t>
  </si>
  <si>
    <t>Цоколь логический CR-M4LS для реле</t>
  </si>
  <si>
    <t>CR-M 2/4ПК 1SVR405651R3100</t>
  </si>
  <si>
    <t>Компания «Промрукав»</t>
  </si>
  <si>
    <t>То же</t>
  </si>
  <si>
    <t>Ороситель спринклерный быстродействующий повышенной производительности Ку80 РВо1,28-R3/4/Р93.В3-«СОБР-17-В» с резьбовым герметиком</t>
  </si>
  <si>
    <t>«СОБР-17-В»</t>
  </si>
  <si>
    <t>Труба стальная электросварная 219x4,0</t>
  </si>
  <si>
    <t>ГОСТ 10704-91</t>
  </si>
  <si>
    <t>п. м</t>
  </si>
  <si>
    <t>Труба стальная электросварная 108x3,0</t>
  </si>
  <si>
    <t>Труба стальная электросварная 75,5x3,2</t>
  </si>
  <si>
    <t>ГОСТ 3262</t>
  </si>
  <si>
    <t>Муфта грувлок Model 723 Saddle-Let для спринклерного оросителя</t>
  </si>
  <si>
    <t>65x3/4″</t>
  </si>
  <si>
    <t>Shurjoint</t>
  </si>
  <si>
    <t>Или аналог</t>
  </si>
  <si>
    <t>Муфта грувлок Model 899 End-All fitting для спринклерного оросителя</t>
  </si>
  <si>
    <t>Муфта грувлок Model 7125</t>
  </si>
  <si>
    <t>65x65x100</t>
  </si>
  <si>
    <t>Тройник переходной под муфту грувлок Model 7121 Reducing Tee</t>
  </si>
  <si>
    <t>200x200x100</t>
  </si>
  <si>
    <t>200x200x65</t>
  </si>
  <si>
    <t>Тройник равнопроходной под муфту грувлок Model 7120 Tee</t>
  </si>
  <si>
    <t>200x200x200</t>
  </si>
  <si>
    <t>Отвод под муфту грувлок Model 7110 90° Elbow</t>
  </si>
  <si>
    <t>DN200</t>
  </si>
  <si>
    <t>DN65</t>
  </si>
  <si>
    <t>Муфта грувлок Model 707 Heavy Duty Rigid Coupling</t>
  </si>
  <si>
    <t>DN100</t>
  </si>
  <si>
    <t>Узел А</t>
  </si>
  <si>
    <t>См. графич. часть, л. Аксонометрич. сх.</t>
  </si>
  <si>
    <t>Манометр МТ 100М 1,6 МПа (метрическая резьба — М20x1,5)</t>
  </si>
  <si>
    <t>Трехходовой кран для манометра G1/2вн-М20x1,5вн</t>
  </si>
  <si>
    <t>KTX-GF-MF</t>
  </si>
  <si>
    <t>Тестовый кран для оросителя G1″ Г/Ш</t>
  </si>
  <si>
    <t>Кран шаровой полнопроходный муфтовый Sphere, Ду50</t>
  </si>
  <si>
    <t>BV-03/T</t>
  </si>
  <si>
    <t>Dinarm</t>
  </si>
  <si>
    <t>Головка цапковая ГЦ-50</t>
  </si>
  <si>
    <t>Заглушка ГЗ-50</t>
  </si>
  <si>
    <t>Воздухоотводчик автоматический, боковой выпуск Ду1/2″</t>
  </si>
  <si>
    <t>SVS-1012</t>
  </si>
  <si>
    <t>Stout</t>
  </si>
  <si>
    <t>Кран шаровой полнопроходный G1/2″ Г/Ш</t>
  </si>
  <si>
    <t>Муфта приварная с резьбой Ду1/2″</t>
  </si>
  <si>
    <t>Узел крепления трубопровода Ду200 к металлическим колоннам</t>
  </si>
  <si>
    <t>Болт U-образный М16x219 (8″)</t>
  </si>
  <si>
    <t>Уголок 50x50x5</t>
  </si>
  <si>
    <t>ГОСТ 8509-93</t>
  </si>
  <si>
    <t>Узел крепления трубопровода Ду200 к элементам ферм</t>
  </si>
  <si>
    <t>Швеллер 14/П</t>
  </si>
  <si>
    <t>Шпилька М16</t>
  </si>
  <si>
    <t>Гайка М16</t>
  </si>
  <si>
    <t>Хомут трубный Ду200</t>
  </si>
  <si>
    <t>Узел крепления трубопровода Ду65 к профлисту</t>
  </si>
  <si>
    <t>Резьбовая шпилька М10x1000, 4.8, оцинк.</t>
  </si>
  <si>
    <t>Гайка шестигранная М8 Zn DIN 934, 8</t>
  </si>
  <si>
    <t>Хомут спринклерных систем MP-MS 2 1/2″</t>
  </si>
  <si>
    <t>Кронштейн трапециевидный MF-TSH M10</t>
  </si>
  <si>
    <t>Резьбовая шпилька AM8x150 мм, 4.8, оцинк.</t>
  </si>
  <si>
    <t>Грунт</t>
  </si>
  <si>
    <t>кг</t>
  </si>
  <si>
    <t>Краска зелёная</t>
  </si>
  <si>
    <t>Монтажный к-т</t>
  </si>
  <si>
    <t>Труба стальная электросварная 273x6,0</t>
  </si>
  <si>
    <t>Для гильзы</t>
  </si>
  <si>
    <t>Минвата</t>
  </si>
  <si>
    <t>Огнеза</t>
  </si>
  <si>
    <t>м³</t>
  </si>
  <si>
    <t>Акриловый противопожарный герметик ОГНЕЗА ВГ, ведро 3 кг, цвет красный 105034</t>
  </si>
  <si>
    <t>Узлы управления</t>
  </si>
  <si>
    <t>Моноблочная установка водосигнальных клапанов «Спрут-КС» исполнение [ТУСО/AV-1/200] Ду350 + SmartFly + Специф</t>
  </si>
  <si>
    <t>«Спрут-КС»</t>
  </si>
  <si>
    <t>ООО «Плазма-Т»</t>
  </si>
  <si>
    <t>См. приложение: Техническое описание моноблочной установки водосигнальных клапанов «Спрут-КС» от 29.12.2025 (Конфигуратор v 23.0). Или аналог с корректировкой гидравлического расчёта</t>
  </si>
  <si>
    <t>Затвор поворотный с редуктором и указателем положения открыто/закрыто, модель wd3510 Ду350 (+ 2 фланца приварных)</t>
  </si>
  <si>
    <t>Фланец стальной приварной Ду350</t>
  </si>
  <si>
    <t>ГОСТ 12820-80</t>
  </si>
  <si>
    <t>Труба стальная электросварная 377x5,0</t>
  </si>
  <si>
    <t>Отвод крутоизогнутый приварной 90° Ду350</t>
  </si>
  <si>
    <t>ГОСТ 17375-2001</t>
  </si>
  <si>
    <t>Статус</t>
  </si>
  <si>
    <t>Лист</t>
  </si>
  <si>
    <t>Строка</t>
  </si>
  <si>
    <t>Поз.</t>
  </si>
  <si>
    <t>Наименование в документе</t>
  </si>
  <si>
    <t>Тип/код в документе</t>
  </si>
  <si>
    <t>Материал ед., без НДС</t>
  </si>
  <si>
    <t>Монтаж ед., без НДС</t>
  </si>
  <si>
    <t>Источник</t>
  </si>
  <si>
    <t>Совпавшее наименование</t>
  </si>
  <si>
    <t>Совпавший тип/код</t>
  </si>
  <si>
    <t>Балл</t>
  </si>
  <si>
    <t>Отступ</t>
  </si>
  <si>
    <t>НДС источника</t>
  </si>
  <si>
    <t>Комментарий</t>
  </si>
  <si>
    <t>заполнено</t>
  </si>
  <si>
    <t>СПС СОУЭ АСПЗ</t>
  </si>
  <si>
    <t>РВС</t>
  </si>
  <si>
    <t>С2000-КДЛ-2И</t>
  </si>
  <si>
    <t>по исходной таблице: руб. с НДС</t>
  </si>
  <si>
    <t>Заполнено автоматически; цена пересчитана в без НДС / 1,22</t>
  </si>
  <si>
    <t>проверить</t>
  </si>
  <si>
    <t>ОТС</t>
  </si>
  <si>
    <t>Блок сигнально-пусковой</t>
  </si>
  <si>
    <t>по исходной таблице: руб. без НДС</t>
  </si>
  <si>
    <t>Не заполнено: требуется ручная проверка</t>
  </si>
  <si>
    <t>Заполнено автоматически</t>
  </si>
  <si>
    <t>АПС</t>
  </si>
  <si>
    <t>Блок управления</t>
  </si>
  <si>
    <t>С2000-ПТ</t>
  </si>
  <si>
    <t>Извещатель дымовой адресный</t>
  </si>
  <si>
    <t>Извещатель ИК адресный</t>
  </si>
  <si>
    <t>С2000-ИК исп.03</t>
  </si>
  <si>
    <t>Протей</t>
  </si>
  <si>
    <t>ИП212-152 ЛМД на 20–80 м / код Тинко 246181</t>
  </si>
  <si>
    <t>Извещатель пожарный ручной</t>
  </si>
  <si>
    <t>С2000-СП2 исп.02</t>
  </si>
  <si>
    <t>Модуль нагрузки</t>
  </si>
  <si>
    <t>Источник питания резервированный</t>
  </si>
  <si>
    <t>Держатель 152 / код Тинко 325362</t>
  </si>
  <si>
    <t>СОТ</t>
  </si>
  <si>
    <t>Камера видеонаблюдения поворотная IP</t>
  </si>
  <si>
    <t>TR-D6225IR20 v3 4.6–152</t>
  </si>
  <si>
    <t>Оповещатель светозвуковой</t>
  </si>
  <si>
    <t>Маяк-24-К</t>
  </si>
  <si>
    <t>СКУД</t>
  </si>
  <si>
    <t>Аккумулятор 12 В, 17 Ач</t>
  </si>
  <si>
    <t>—</t>
  </si>
  <si>
    <t>Кабель пожарной сигнализации КСРВнг(А)-FRLS 1x2x0,97 — 0,75 кв. мм</t>
  </si>
  <si>
    <t>КПСнг(А)-FRLS 1х2х0,75 / код Тинко 216213</t>
  </si>
  <si>
    <t>Кабель пожарной сигнализации КСРВнг(А)-FRLS 1x2x0,8 — 0,5 кв. мм</t>
  </si>
  <si>
    <t>КПСнг(А)-FRLS 1х2х0,5 / код Тинко 216212</t>
  </si>
  <si>
    <t>Труба гофрированная ПНД</t>
  </si>
  <si>
    <t>d16</t>
  </si>
  <si>
    <t>Скоба СМО 19-20</t>
  </si>
  <si>
    <t>СМО 19-20 / PR08.2534 / код Тинко 283144</t>
  </si>
  <si>
    <t>RAPAN-UPS 3000 (734)</t>
  </si>
  <si>
    <t>3000</t>
  </si>
  <si>
    <t>Комплект исполнительной документации</t>
  </si>
  <si>
    <t>Стяжки кабельные стальные СКС (316) 4,6*400</t>
  </si>
  <si>
    <t>Пена монтажная всесезонная для пистолета 70+ PRO 980 г REXANT</t>
  </si>
  <si>
    <t>89-0911</t>
  </si>
  <si>
    <t>Шпилька M8x2000</t>
  </si>
  <si>
    <t>Микрофонная консоль</t>
  </si>
  <si>
    <t>Консоль-20</t>
  </si>
  <si>
    <t>Гайка М6 с насечкой</t>
  </si>
  <si>
    <t>Метка адресная пожарная со встроенным изолятором короткого замыкания АЛС</t>
  </si>
  <si>
    <t>АМП-4-ИКЗ-R3 / RBZ-477942</t>
  </si>
  <si>
    <t>Шайба M8 кузовная DIN9021</t>
  </si>
  <si>
    <t>CM120800,</t>
  </si>
  <si>
    <t>Пена огнестойкая</t>
  </si>
  <si>
    <t>ИНЗАПЕН-П 380мл (картридж) (CPO12-3-380)</t>
  </si>
  <si>
    <t>Пост кнопочный</t>
  </si>
  <si>
    <t>ПКЕ 222-1У2</t>
  </si>
  <si>
    <t>Рупор-300</t>
  </si>
  <si>
    <t>Устройство дистанционного пуска</t>
  </si>
  <si>
    <t>Громкоговоритель настенный</t>
  </si>
  <si>
    <t>ОПР-С106.1</t>
  </si>
  <si>
    <t>Считыватель бесконтактный</t>
  </si>
  <si>
    <t>Proxy-4E</t>
  </si>
  <si>
    <t>Труба ПНД двустенная гибкая d32 тип 450 (SN34) с/з красная (PR15.0266)</t>
  </si>
  <si>
    <t>PR15.0266</t>
  </si>
  <si>
    <t>Колонки</t>
  </si>
  <si>
    <t>ASP100</t>
  </si>
  <si>
    <t>СКС</t>
  </si>
  <si>
    <t>Патч-панель 48 портов</t>
  </si>
  <si>
    <t>PPHD-19-48-8P8C-C6-110D</t>
  </si>
  <si>
    <t>Распределительная коробка Промрукав для о/п безгалогенная HF
200x150x75 б/г 1 шт</t>
  </si>
  <si>
    <t>40-0321</t>
  </si>
  <si>
    <t>Услуги коленчатого подъемника</t>
  </si>
  <si>
    <t>АСПЗ АДУ</t>
  </si>
  <si>
    <t>С2000-БКИ</t>
  </si>
  <si>
    <t>Расширитель адресный</t>
  </si>
  <si>
    <t>С2000-АР1 исп.01</t>
  </si>
  <si>
    <t>Устройство дистанционного пуска адресное со встроенным изолятором короткого замыкания</t>
  </si>
  <si>
    <t>УДП 513-11ИКЗ-R3</t>
  </si>
  <si>
    <t>Автоматический выключатель</t>
  </si>
  <si>
    <t>ВА105 1Р кривая C 25А 10кА
13155DEK</t>
  </si>
  <si>
    <t>АУП ПП</t>
  </si>
  <si>
    <t>РИП-12 исп.17 (РИП-12-8/17М1-Р)</t>
  </si>
  <si>
    <t>РИП-12 исп.17</t>
  </si>
  <si>
    <t>ATI5000A Комплект автоматики для распашных ворот</t>
  </si>
  <si>
    <t>ATI5000A</t>
  </si>
  <si>
    <t>Табло MP-730W1</t>
  </si>
  <si>
    <t>Переходник miniDP</t>
  </si>
  <si>
    <t>Телефон проводной Texet TX-234</t>
  </si>
  <si>
    <t>Texet TX-234</t>
  </si>
  <si>
    <t>Коннекторы 6P4C (RJ-11) (100шт) (10-0227)</t>
  </si>
  <si>
    <t>10-0227</t>
  </si>
  <si>
    <t>Извещатель ИК</t>
  </si>
  <si>
    <t>Корпус металлический</t>
  </si>
  <si>
    <t>ЩМП-ПРО-1500x800x280-IP66-УХЛ1
типоисполнение ПРО 367451
КЭАЗ</t>
  </si>
  <si>
    <t>Базовый блок на 16 платомест</t>
  </si>
  <si>
    <t>B500P</t>
  </si>
  <si>
    <t>Оповещатель световой</t>
  </si>
  <si>
    <t>С2000-ОСТ исп.03</t>
  </si>
  <si>
    <t>Коробка коммутационная</t>
  </si>
  <si>
    <t>КС-4</t>
  </si>
  <si>
    <t>Заглушка модульная</t>
  </si>
  <si>
    <t>45016</t>
  </si>
  <si>
    <t>Лоток проволочный 50х100</t>
  </si>
  <si>
    <t>FC5010</t>
  </si>
  <si>
    <t>Аккумуляторная батарея 12В 7Ач.</t>
  </si>
  <si>
    <t>DTM 1207</t>
  </si>
  <si>
    <t>Комплекты для крепления ОКЛ FR ПР-25 (100шт) (PR08.5200)</t>
  </si>
  <si>
    <t>PR08.5200</t>
  </si>
  <si>
    <t>Винт с крестообразным шлицем М6x10</t>
  </si>
  <si>
    <t>РИП-12 (ЗИП)</t>
  </si>
  <si>
    <t>Гайка M8</t>
  </si>
  <si>
    <t>CM110800</t>
  </si>
  <si>
    <t>Гайка с насечкой М8 (100 шт) (CM100800)</t>
  </si>
  <si>
    <t>ONKRON кронштейн для четырех мониторов 13"-32" настольный, чёрный D421E</t>
  </si>
  <si>
    <t>D421E</t>
  </si>
  <si>
    <t>Герметик огнезащитный</t>
  </si>
  <si>
    <t>ИНЗАГЕРМ ХПС</t>
  </si>
  <si>
    <t>Стяжка кабельная</t>
  </si>
  <si>
    <t>3.6×250</t>
  </si>
  <si>
    <t>Мини ПК</t>
  </si>
  <si>
    <t>MSI PRO DP21 14M-1069XRU</t>
  </si>
  <si>
    <t>Карточка Орион Про</t>
  </si>
  <si>
    <t>Стоимость материала, ед. расценка, руб. с НДС</t>
  </si>
  <si>
    <t>Стоимость материала, итого, руб. с НДС</t>
  </si>
  <si>
    <t>Стоимость монтажа, ед. расценка, руб. с НДС</t>
  </si>
  <si>
    <t>Стоимость монтажа, итого, руб. с НДС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</si>
</sst>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_-* #,##0.00\ _₽_-;\-* #,##0.00\ _₽_-;_-* &quot;-&quot;??\ _₽_-;_-@_-"/>
  </numFmts>
  <fonts count="11" x14ac:knownFonts="1">
    <font>
      <sz val="11"/>
      <color theme="1"/>
      <name val="Calibri"/>
      <family val="2"/>
      <charset val="204"/>
      <scheme val="minor"/>
    </font>
    <font>
      <sz val="10"/>
      <name val="Helv"/>
      <charset val="204"/>
    </font>
    <font>
      <sz val="12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b/>
      <sz val="11"/>
      <color rgb="FFFFFFFF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1" applyFont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left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wrapText="1"/>
    </xf>
    <xf numFmtId="0" fontId="8" fillId="0" borderId="1" xfId="1" applyFont="1" applyBorder="1"/>
    <xf numFmtId="165" fontId="2" fillId="0" borderId="1" xfId="0" applyNumberFormat="1" applyFont="1" applyBorder="1" applyAlignment="1">
      <alignment vertical="center" wrapText="1"/>
    </xf>
    <xf numFmtId="165" fontId="6" fillId="0" borderId="1" xfId="0" applyNumberFormat="1" applyFont="1" applyBorder="1" applyAlignment="1">
      <alignment vertical="center" wrapText="1"/>
    </xf>
    <xf numFmtId="0" fontId="7" fillId="3" borderId="0" xfId="0" applyFont="1" applyFill="1" applyAlignment="1">
      <alignment vertical="center" wrapText="1"/>
    </xf>
    <xf numFmtId="165" fontId="2" fillId="3" borderId="0" xfId="0" applyNumberFormat="1" applyFont="1" applyFill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left" wrapText="1"/>
    </xf>
    <xf numFmtId="49" fontId="4" fillId="0" borderId="0" xfId="0" applyNumberFormat="1" applyFont="1" applyAlignment="1">
      <alignment horizontal="center"/>
    </xf>
    <xf numFmtId="49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4" fontId="2" fillId="0" borderId="1" xfId="0" applyNumberFormat="1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 wrapText="1"/>
    </xf>
    <xf numFmtId="4" fontId="4" fillId="0" borderId="1" xfId="0" applyNumberFormat="1" applyFont="1" applyBorder="1" applyAlignment="1">
      <alignment horizontal="center" vertical="center" wrapText="1"/>
    </xf>
    <xf numFmtId="0" fontId="10" fillId="5" borderId="0" xfId="0" applyFont="1" applyFill="1" applyAlignment="1">
      <alignment vertical="center" wrapText="1"/>
    </xf>
    <xf numFmtId="0" fontId="0" fillId="6" borderId="0" xfId="0" applyFill="1" applyAlignment="1">
      <alignment vertical="top" wrapText="1"/>
    </xf>
    <xf numFmtId="0" fontId="0" fillId="7" borderId="0" xfId="0" applyFill="1" applyAlignment="1">
      <alignment vertical="top" wrapText="1"/>
    </xf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164" fontId="7" fillId="2" borderId="3" xfId="1" applyNumberFormat="1" applyFont="1" applyFill="1" applyBorder="1" applyAlignment="1">
      <alignment horizontal="center" vertical="center" wrapText="1"/>
    </xf>
    <xf numFmtId="0" fontId="0" fillId="0" borderId="3" xfId="0" applyBorder="1"/>
    <xf numFmtId="49" fontId="9" fillId="0" borderId="1" xfId="0" applyNumberFormat="1" applyFont="1" applyBorder="1" applyAlignment="1">
      <alignment horizontal="center" vertical="center"/>
    </xf>
    <xf numFmtId="0" fontId="0" fillId="0" borderId="4" xfId="0" applyBorder="1"/>
  </cellXfs>
  <cellStyles count="2">
    <cellStyle name="Обычный" xfId="0" builtinId="0"/>
    <cellStyle name="Обычный_080911_Игора спортцентр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3"/>
  <sheetViews>
    <sheetView tabSelected="1" zoomScale="70" zoomScaleNormal="70" workbookViewId="0">
      <selection sqref="A1:XFD1"/>
    </sheetView>
  </sheetViews>
  <sheetFormatPr defaultColWidth="8.85546875" defaultRowHeight="15.75" outlineLevelRow="1" x14ac:dyDescent="0.25"/>
  <cols>
    <col min="1" max="1" width="4.85546875" style="11" bestFit="1" customWidth="1"/>
    <col min="2" max="2" width="111" style="15" bestFit="1" customWidth="1"/>
    <col min="3" max="3" width="36.85546875" style="11" bestFit="1" customWidth="1"/>
    <col min="4" max="4" width="37.28515625" style="11" bestFit="1" customWidth="1"/>
    <col min="5" max="5" width="4.140625" style="11" bestFit="1" customWidth="1"/>
    <col min="6" max="6" width="8.28515625" style="11" bestFit="1" customWidth="1"/>
    <col min="7" max="7" width="28.28515625" style="14" bestFit="1" customWidth="1"/>
    <col min="8" max="8" width="24.7109375" style="14" bestFit="1" customWidth="1"/>
    <col min="9" max="9" width="26.42578125" style="14" bestFit="1" customWidth="1"/>
    <col min="10" max="10" width="22.85546875" style="14" bestFit="1" customWidth="1"/>
    <col min="11" max="11" width="14.140625" style="14" bestFit="1" customWidth="1"/>
    <col min="12" max="12" width="8.85546875" style="11" customWidth="1"/>
    <col min="13" max="16384" width="8.85546875" style="11"/>
  </cols>
  <sheetData>
    <row r="1" spans="1:11" ht="72" customHeight="1" x14ac:dyDescent="0.2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7" t="s">
        <v>398</v>
      </c>
      <c r="H1" s="17" t="s">
        <v>399</v>
      </c>
      <c r="I1" s="17" t="s">
        <v>400</v>
      </c>
      <c r="J1" s="17" t="s">
        <v>401</v>
      </c>
      <c r="K1" s="17" t="s">
        <v>6</v>
      </c>
    </row>
    <row r="2" spans="1:11" ht="252" x14ac:dyDescent="0.25">
      <c r="A2" s="3">
        <v>1</v>
      </c>
      <c r="B2" s="18" t="s">
        <v>7</v>
      </c>
      <c r="C2" s="3" t="s">
        <v>8</v>
      </c>
      <c r="D2" s="3" t="s">
        <v>9</v>
      </c>
      <c r="E2" s="3" t="s">
        <v>10</v>
      </c>
      <c r="F2" s="3">
        <v>3</v>
      </c>
      <c r="G2" s="34">
        <v>4589.34</v>
      </c>
      <c r="H2" s="34">
        <v>13768.02</v>
      </c>
      <c r="I2" s="34">
        <v>6557.38</v>
      </c>
      <c r="J2" s="34">
        <v>19672.14</v>
      </c>
      <c r="K2" s="1" t="s">
        <v>11</v>
      </c>
    </row>
    <row r="3" spans="1:11" x14ac:dyDescent="0.25">
      <c r="A3" s="3">
        <v>2</v>
      </c>
      <c r="B3" s="18" t="s">
        <v>12</v>
      </c>
      <c r="C3" s="3" t="s">
        <v>13</v>
      </c>
      <c r="D3" s="3" t="s">
        <v>9</v>
      </c>
      <c r="E3" s="3" t="s">
        <v>10</v>
      </c>
      <c r="F3" s="3">
        <v>7</v>
      </c>
      <c r="G3" s="1"/>
      <c r="H3" s="1"/>
      <c r="I3" s="1"/>
      <c r="J3" s="1"/>
      <c r="K3" s="1"/>
    </row>
    <row r="4" spans="1:11" ht="141.75" x14ac:dyDescent="0.25">
      <c r="A4" s="3">
        <v>3</v>
      </c>
      <c r="B4" s="18" t="s">
        <v>14</v>
      </c>
      <c r="C4" s="3" t="s">
        <v>15</v>
      </c>
      <c r="D4" s="3" t="s">
        <v>9</v>
      </c>
      <c r="E4" s="3" t="s">
        <v>10</v>
      </c>
      <c r="F4" s="3">
        <v>29</v>
      </c>
      <c r="G4" s="34">
        <v>2115.7199999999998</v>
      </c>
      <c r="H4" s="34">
        <v>61355.88</v>
      </c>
      <c r="I4" s="34">
        <v>4725</v>
      </c>
      <c r="J4" s="34">
        <v>137025</v>
      </c>
      <c r="K4" s="1" t="s">
        <v>16</v>
      </c>
    </row>
    <row r="5" spans="1:11" ht="126" x14ac:dyDescent="0.25">
      <c r="A5" s="3">
        <v>4</v>
      </c>
      <c r="B5" s="18" t="s">
        <v>17</v>
      </c>
      <c r="C5" s="3" t="s">
        <v>18</v>
      </c>
      <c r="D5" s="3" t="s">
        <v>9</v>
      </c>
      <c r="E5" s="3" t="s">
        <v>10</v>
      </c>
      <c r="F5" s="3">
        <v>8</v>
      </c>
      <c r="G5" s="34">
        <v>8578.11</v>
      </c>
      <c r="H5" s="34">
        <v>68624.88</v>
      </c>
      <c r="I5" s="34">
        <v>5000</v>
      </c>
      <c r="J5" s="34">
        <v>40000</v>
      </c>
      <c r="K5" s="1" t="s">
        <v>19</v>
      </c>
    </row>
    <row r="6" spans="1:11" ht="157.5" x14ac:dyDescent="0.25">
      <c r="A6" s="3">
        <v>5</v>
      </c>
      <c r="B6" s="18" t="s">
        <v>20</v>
      </c>
      <c r="C6" s="3" t="s">
        <v>21</v>
      </c>
      <c r="D6" s="3" t="s">
        <v>9</v>
      </c>
      <c r="E6" s="3" t="s">
        <v>10</v>
      </c>
      <c r="F6" s="3">
        <v>13</v>
      </c>
      <c r="G6" s="34">
        <v>2014.22</v>
      </c>
      <c r="H6" s="34">
        <v>26184.86</v>
      </c>
      <c r="I6" s="34">
        <v>3500</v>
      </c>
      <c r="J6" s="34">
        <v>45500</v>
      </c>
      <c r="K6" s="1" t="s">
        <v>22</v>
      </c>
    </row>
    <row r="7" spans="1:11" x14ac:dyDescent="0.25">
      <c r="A7" s="3">
        <v>6</v>
      </c>
      <c r="B7" s="18" t="s">
        <v>23</v>
      </c>
      <c r="C7" s="3" t="s">
        <v>24</v>
      </c>
      <c r="D7" s="3" t="s">
        <v>9</v>
      </c>
      <c r="E7" s="3" t="s">
        <v>10</v>
      </c>
      <c r="F7" s="3">
        <v>5</v>
      </c>
      <c r="G7" s="1"/>
      <c r="H7" s="1"/>
      <c r="I7" s="1"/>
      <c r="J7" s="1"/>
      <c r="K7" s="1"/>
    </row>
    <row r="8" spans="1:11" x14ac:dyDescent="0.25">
      <c r="A8" s="3">
        <v>7</v>
      </c>
      <c r="B8" s="18" t="s">
        <v>25</v>
      </c>
      <c r="C8" s="3" t="s">
        <v>26</v>
      </c>
      <c r="D8" s="3" t="s">
        <v>9</v>
      </c>
      <c r="E8" s="3" t="s">
        <v>10</v>
      </c>
      <c r="F8" s="3">
        <v>13</v>
      </c>
      <c r="G8" s="1"/>
      <c r="H8" s="1"/>
      <c r="I8" s="1"/>
      <c r="J8" s="1"/>
      <c r="K8" s="1"/>
    </row>
    <row r="9" spans="1:11" ht="157.5" x14ac:dyDescent="0.25">
      <c r="A9" s="3">
        <v>8</v>
      </c>
      <c r="B9" s="18" t="s">
        <v>27</v>
      </c>
      <c r="C9" s="3" t="s">
        <v>28</v>
      </c>
      <c r="D9" s="3" t="s">
        <v>9</v>
      </c>
      <c r="E9" s="3" t="s">
        <v>10</v>
      </c>
      <c r="F9" s="3">
        <v>21</v>
      </c>
      <c r="G9" s="34">
        <v>1141.92</v>
      </c>
      <c r="H9" s="34">
        <v>23980.32</v>
      </c>
      <c r="I9" s="34">
        <v>3500</v>
      </c>
      <c r="J9" s="34">
        <v>73500</v>
      </c>
      <c r="K9" s="1" t="s">
        <v>29</v>
      </c>
    </row>
    <row r="10" spans="1:11" x14ac:dyDescent="0.25">
      <c r="A10" s="3">
        <v>9</v>
      </c>
      <c r="B10" s="18" t="s">
        <v>30</v>
      </c>
      <c r="C10" s="3" t="s">
        <v>31</v>
      </c>
      <c r="D10" s="3" t="s">
        <v>9</v>
      </c>
      <c r="E10" s="3" t="s">
        <v>10</v>
      </c>
      <c r="F10" s="3">
        <v>16</v>
      </c>
      <c r="G10" s="1"/>
      <c r="H10" s="1"/>
      <c r="I10" s="1"/>
      <c r="J10" s="1"/>
      <c r="K10" s="1"/>
    </row>
    <row r="11" spans="1:11" ht="126" x14ac:dyDescent="0.25">
      <c r="A11" s="3">
        <v>10</v>
      </c>
      <c r="B11" s="18" t="s">
        <v>32</v>
      </c>
      <c r="C11" s="3" t="s">
        <v>33</v>
      </c>
      <c r="D11" s="3" t="s">
        <v>9</v>
      </c>
      <c r="E11" s="3" t="s">
        <v>10</v>
      </c>
      <c r="F11" s="3">
        <v>348</v>
      </c>
      <c r="G11" s="34">
        <v>103.09</v>
      </c>
      <c r="H11" s="34">
        <v>35875.32</v>
      </c>
      <c r="I11" s="34">
        <v>300</v>
      </c>
      <c r="J11" s="34">
        <v>104400</v>
      </c>
      <c r="K11" s="1" t="s">
        <v>34</v>
      </c>
    </row>
    <row r="12" spans="1:11" ht="157.5" x14ac:dyDescent="0.25">
      <c r="A12" s="3">
        <v>11</v>
      </c>
      <c r="B12" s="18" t="s">
        <v>35</v>
      </c>
      <c r="C12" s="3" t="s">
        <v>36</v>
      </c>
      <c r="D12" s="3" t="s">
        <v>9</v>
      </c>
      <c r="E12" s="3" t="s">
        <v>10</v>
      </c>
      <c r="F12" s="3">
        <v>3</v>
      </c>
      <c r="G12" s="34">
        <v>28138.81</v>
      </c>
      <c r="H12" s="34">
        <v>84416.43</v>
      </c>
      <c r="I12" s="34">
        <v>15000</v>
      </c>
      <c r="J12" s="34">
        <v>45000</v>
      </c>
      <c r="K12" s="1" t="s">
        <v>37</v>
      </c>
    </row>
    <row r="13" spans="1:11" ht="157.5" x14ac:dyDescent="0.25">
      <c r="A13" s="3">
        <v>12</v>
      </c>
      <c r="B13" s="18" t="s">
        <v>38</v>
      </c>
      <c r="C13" s="3" t="s">
        <v>39</v>
      </c>
      <c r="D13" s="3" t="s">
        <v>9</v>
      </c>
      <c r="E13" s="3" t="s">
        <v>10</v>
      </c>
      <c r="F13" s="3">
        <v>7</v>
      </c>
      <c r="G13" s="34">
        <v>13825.16</v>
      </c>
      <c r="H13" s="34">
        <v>96776.12</v>
      </c>
      <c r="I13" s="34">
        <v>5500</v>
      </c>
      <c r="J13" s="34">
        <v>38500</v>
      </c>
      <c r="K13" s="1" t="s">
        <v>40</v>
      </c>
    </row>
    <row r="14" spans="1:11" ht="157.5" x14ac:dyDescent="0.25">
      <c r="A14" s="3">
        <v>13</v>
      </c>
      <c r="B14" s="18" t="s">
        <v>38</v>
      </c>
      <c r="C14" s="3" t="s">
        <v>41</v>
      </c>
      <c r="D14" s="3" t="s">
        <v>9</v>
      </c>
      <c r="E14" s="3" t="s">
        <v>10</v>
      </c>
      <c r="F14" s="3">
        <v>2</v>
      </c>
      <c r="G14" s="34">
        <v>8868.91</v>
      </c>
      <c r="H14" s="34">
        <v>17737.82</v>
      </c>
      <c r="I14" s="34">
        <v>5500</v>
      </c>
      <c r="J14" s="34">
        <v>11000</v>
      </c>
      <c r="K14" s="1" t="s">
        <v>42</v>
      </c>
    </row>
    <row r="15" spans="1:11" ht="252" x14ac:dyDescent="0.25">
      <c r="A15" s="3">
        <v>14</v>
      </c>
      <c r="B15" s="18" t="s">
        <v>43</v>
      </c>
      <c r="C15" s="3" t="s">
        <v>44</v>
      </c>
      <c r="D15" s="3" t="s">
        <v>45</v>
      </c>
      <c r="E15" s="3" t="s">
        <v>10</v>
      </c>
      <c r="F15" s="3">
        <v>52</v>
      </c>
      <c r="G15" s="34">
        <v>924.02</v>
      </c>
      <c r="H15" s="34">
        <v>48049.04</v>
      </c>
      <c r="I15" s="34">
        <v>0</v>
      </c>
      <c r="J15" s="34">
        <v>0</v>
      </c>
      <c r="K15" s="1" t="s">
        <v>46</v>
      </c>
    </row>
    <row r="16" spans="1:11" x14ac:dyDescent="0.25">
      <c r="A16" s="3">
        <v>15</v>
      </c>
      <c r="B16" s="18" t="s">
        <v>47</v>
      </c>
      <c r="C16" s="3" t="s">
        <v>48</v>
      </c>
      <c r="D16" s="3" t="s">
        <v>45</v>
      </c>
      <c r="E16" s="3" t="s">
        <v>10</v>
      </c>
      <c r="F16" s="3">
        <v>26</v>
      </c>
      <c r="G16" s="1"/>
      <c r="H16" s="1"/>
      <c r="I16" s="1"/>
      <c r="J16" s="1"/>
      <c r="K16" s="1"/>
    </row>
    <row r="17" spans="1:11" x14ac:dyDescent="0.25">
      <c r="A17" s="3">
        <v>16</v>
      </c>
      <c r="B17" s="18" t="s">
        <v>49</v>
      </c>
      <c r="C17" s="3" t="s">
        <v>50</v>
      </c>
      <c r="D17" s="3" t="s">
        <v>51</v>
      </c>
      <c r="E17" s="3" t="s">
        <v>10</v>
      </c>
      <c r="F17" s="3">
        <v>61</v>
      </c>
      <c r="G17" s="1"/>
      <c r="H17" s="1"/>
      <c r="I17" s="1"/>
      <c r="J17" s="1"/>
      <c r="K17" s="1"/>
    </row>
    <row r="18" spans="1:11" x14ac:dyDescent="0.25">
      <c r="A18" s="3">
        <v>17</v>
      </c>
      <c r="B18" s="18" t="s">
        <v>52</v>
      </c>
      <c r="C18" s="3" t="s">
        <v>53</v>
      </c>
      <c r="D18" s="3" t="s">
        <v>54</v>
      </c>
      <c r="E18" s="3" t="s">
        <v>10</v>
      </c>
      <c r="F18" s="3">
        <v>18</v>
      </c>
      <c r="G18" s="1"/>
      <c r="H18" s="1"/>
      <c r="I18" s="1"/>
      <c r="J18" s="1"/>
      <c r="K18" s="1"/>
    </row>
    <row r="19" spans="1:11" x14ac:dyDescent="0.25">
      <c r="A19" s="3">
        <v>18</v>
      </c>
      <c r="B19" s="18" t="s">
        <v>55</v>
      </c>
      <c r="C19" s="3" t="s">
        <v>53</v>
      </c>
      <c r="D19" s="3" t="s">
        <v>54</v>
      </c>
      <c r="E19" s="3" t="s">
        <v>10</v>
      </c>
      <c r="F19" s="3">
        <v>18</v>
      </c>
      <c r="G19" s="1"/>
      <c r="H19" s="1"/>
      <c r="I19" s="1"/>
      <c r="J19" s="1"/>
      <c r="K19" s="1"/>
    </row>
    <row r="20" spans="1:11" x14ac:dyDescent="0.25">
      <c r="A20" s="3">
        <v>19</v>
      </c>
      <c r="B20" s="18" t="s">
        <v>56</v>
      </c>
      <c r="C20" s="3" t="s">
        <v>57</v>
      </c>
      <c r="D20" s="3" t="s">
        <v>54</v>
      </c>
      <c r="E20" s="3" t="s">
        <v>10</v>
      </c>
      <c r="F20" s="3">
        <v>270</v>
      </c>
      <c r="G20" s="1"/>
      <c r="H20" s="1"/>
      <c r="I20" s="1"/>
      <c r="J20" s="1"/>
      <c r="K20" s="1"/>
    </row>
    <row r="21" spans="1:11" x14ac:dyDescent="0.25">
      <c r="A21" s="3">
        <v>20</v>
      </c>
      <c r="B21" s="18" t="s">
        <v>58</v>
      </c>
      <c r="C21" s="3" t="s">
        <v>59</v>
      </c>
      <c r="D21" s="3" t="s">
        <v>54</v>
      </c>
      <c r="E21" s="3" t="s">
        <v>10</v>
      </c>
      <c r="F21" s="3">
        <v>43</v>
      </c>
      <c r="G21" s="1"/>
      <c r="H21" s="1"/>
      <c r="I21" s="1"/>
      <c r="J21" s="1"/>
      <c r="K21" s="1"/>
    </row>
    <row r="22" spans="1:11" x14ac:dyDescent="0.25">
      <c r="A22" s="3">
        <v>21</v>
      </c>
      <c r="B22" s="18" t="s">
        <v>60</v>
      </c>
      <c r="C22" s="3"/>
      <c r="D22" s="3" t="s">
        <v>61</v>
      </c>
      <c r="E22" s="3" t="s">
        <v>10</v>
      </c>
      <c r="F22" s="3">
        <v>4</v>
      </c>
      <c r="G22" s="1"/>
      <c r="H22" s="1"/>
      <c r="I22" s="1"/>
      <c r="J22" s="1"/>
      <c r="K22" s="1"/>
    </row>
    <row r="23" spans="1:11" ht="141.75" x14ac:dyDescent="0.25">
      <c r="A23" s="3">
        <v>22</v>
      </c>
      <c r="B23" s="18" t="s">
        <v>62</v>
      </c>
      <c r="C23" s="3"/>
      <c r="D23" s="3" t="s">
        <v>61</v>
      </c>
      <c r="E23" s="3" t="s">
        <v>10</v>
      </c>
      <c r="F23" s="3">
        <v>6</v>
      </c>
      <c r="G23" s="34">
        <v>2310</v>
      </c>
      <c r="H23" s="34">
        <v>13860</v>
      </c>
      <c r="I23" s="34"/>
      <c r="J23" s="34"/>
      <c r="K23" s="1" t="s">
        <v>63</v>
      </c>
    </row>
    <row r="24" spans="1:11" x14ac:dyDescent="0.25">
      <c r="A24" s="3">
        <v>23</v>
      </c>
      <c r="B24" s="18" t="s">
        <v>64</v>
      </c>
      <c r="C24" s="3"/>
      <c r="D24" s="3" t="s">
        <v>61</v>
      </c>
      <c r="E24" s="3" t="s">
        <v>10</v>
      </c>
      <c r="F24" s="3">
        <v>14</v>
      </c>
      <c r="G24" s="1"/>
      <c r="H24" s="1"/>
      <c r="I24" s="1"/>
      <c r="J24" s="1"/>
      <c r="K24" s="1"/>
    </row>
    <row r="25" spans="1:11" ht="31.5" customHeight="1" x14ac:dyDescent="0.25">
      <c r="A25" s="3">
        <v>24</v>
      </c>
      <c r="B25" s="2" t="s">
        <v>65</v>
      </c>
      <c r="C25" s="3" t="s">
        <v>66</v>
      </c>
      <c r="D25" s="3" t="s">
        <v>67</v>
      </c>
      <c r="E25" s="3" t="s">
        <v>68</v>
      </c>
      <c r="F25" s="3">
        <v>7700</v>
      </c>
      <c r="G25" s="1"/>
      <c r="H25" s="1"/>
      <c r="I25" s="1"/>
      <c r="J25" s="1"/>
      <c r="K25" s="1"/>
    </row>
    <row r="26" spans="1:11" ht="31.5" customHeight="1" x14ac:dyDescent="0.25">
      <c r="A26" s="3">
        <v>25</v>
      </c>
      <c r="B26" s="2" t="s">
        <v>65</v>
      </c>
      <c r="C26" s="3" t="s">
        <v>69</v>
      </c>
      <c r="D26" s="3" t="s">
        <v>67</v>
      </c>
      <c r="E26" s="3" t="s">
        <v>68</v>
      </c>
      <c r="F26" s="3">
        <v>900</v>
      </c>
      <c r="G26" s="1"/>
      <c r="H26" s="1"/>
      <c r="I26" s="1"/>
      <c r="J26" s="1"/>
      <c r="K26" s="1"/>
    </row>
    <row r="27" spans="1:11" x14ac:dyDescent="0.25">
      <c r="A27" s="3">
        <v>26</v>
      </c>
      <c r="B27" s="2" t="s">
        <v>70</v>
      </c>
      <c r="C27" s="3" t="s">
        <v>71</v>
      </c>
      <c r="D27" s="3" t="s">
        <v>72</v>
      </c>
      <c r="E27" s="3" t="s">
        <v>68</v>
      </c>
      <c r="F27" s="3">
        <v>50</v>
      </c>
      <c r="G27" s="1"/>
      <c r="H27" s="1"/>
      <c r="I27" s="1"/>
      <c r="J27" s="1"/>
      <c r="K27" s="1"/>
    </row>
    <row r="28" spans="1:11" x14ac:dyDescent="0.25">
      <c r="A28" s="3">
        <v>27</v>
      </c>
      <c r="B28" s="18" t="s">
        <v>73</v>
      </c>
      <c r="C28" s="3" t="s">
        <v>74</v>
      </c>
      <c r="D28" s="3" t="s">
        <v>75</v>
      </c>
      <c r="E28" s="3" t="s">
        <v>68</v>
      </c>
      <c r="F28" s="3">
        <v>8650</v>
      </c>
      <c r="G28" s="1"/>
      <c r="H28" s="1"/>
      <c r="I28" s="1"/>
      <c r="J28" s="1"/>
      <c r="K28" s="1"/>
    </row>
    <row r="29" spans="1:11" x14ac:dyDescent="0.25">
      <c r="A29" s="3">
        <v>28</v>
      </c>
      <c r="B29" s="18" t="s">
        <v>76</v>
      </c>
      <c r="C29" s="3" t="s">
        <v>77</v>
      </c>
      <c r="D29" s="3" t="s">
        <v>75</v>
      </c>
      <c r="E29" s="3" t="s">
        <v>78</v>
      </c>
      <c r="F29" s="3">
        <v>40</v>
      </c>
      <c r="G29" s="1"/>
      <c r="H29" s="1"/>
      <c r="I29" s="1"/>
      <c r="J29" s="1"/>
      <c r="K29" s="1"/>
    </row>
    <row r="30" spans="1:11" x14ac:dyDescent="0.25">
      <c r="A30" s="3">
        <v>29</v>
      </c>
      <c r="B30" s="18" t="s">
        <v>79</v>
      </c>
      <c r="C30" s="3" t="s">
        <v>80</v>
      </c>
      <c r="D30" s="3" t="s">
        <v>75</v>
      </c>
      <c r="E30" s="3" t="s">
        <v>10</v>
      </c>
      <c r="F30" s="3">
        <v>478</v>
      </c>
      <c r="G30" s="1"/>
      <c r="H30" s="1"/>
      <c r="I30" s="1"/>
      <c r="J30" s="1"/>
      <c r="K30" s="1"/>
    </row>
    <row r="31" spans="1:11" x14ac:dyDescent="0.25">
      <c r="A31" s="3">
        <v>30</v>
      </c>
      <c r="B31" s="18" t="s">
        <v>81</v>
      </c>
      <c r="C31" s="3" t="s">
        <v>82</v>
      </c>
      <c r="D31" s="3" t="s">
        <v>75</v>
      </c>
      <c r="E31" s="3" t="s">
        <v>78</v>
      </c>
      <c r="F31" s="3">
        <v>15</v>
      </c>
      <c r="G31" s="1"/>
      <c r="H31" s="1"/>
      <c r="I31" s="1"/>
      <c r="J31" s="1"/>
      <c r="K31" s="1"/>
    </row>
    <row r="32" spans="1:11" x14ac:dyDescent="0.25">
      <c r="A32" s="3">
        <v>31</v>
      </c>
      <c r="B32" s="18" t="s">
        <v>83</v>
      </c>
      <c r="C32" s="3" t="s">
        <v>84</v>
      </c>
      <c r="D32" s="3" t="s">
        <v>75</v>
      </c>
      <c r="E32" s="3" t="s">
        <v>78</v>
      </c>
      <c r="F32" s="3">
        <v>50</v>
      </c>
      <c r="G32" s="1"/>
      <c r="H32" s="1"/>
      <c r="I32" s="1"/>
      <c r="J32" s="1"/>
      <c r="K32" s="1"/>
    </row>
    <row r="33" spans="1:11" x14ac:dyDescent="0.25">
      <c r="A33" s="3">
        <v>32</v>
      </c>
      <c r="B33" s="18" t="s">
        <v>85</v>
      </c>
      <c r="C33" s="3" t="s">
        <v>86</v>
      </c>
      <c r="D33" s="3"/>
      <c r="E33" s="3" t="s">
        <v>10</v>
      </c>
      <c r="F33" s="3">
        <v>1912</v>
      </c>
      <c r="G33" s="1"/>
      <c r="H33" s="1"/>
      <c r="I33" s="1"/>
      <c r="J33" s="1"/>
      <c r="K33" s="1"/>
    </row>
    <row r="34" spans="1:11" x14ac:dyDescent="0.25">
      <c r="A34" s="3">
        <v>33</v>
      </c>
      <c r="B34" s="18" t="s">
        <v>87</v>
      </c>
      <c r="C34" s="3" t="s">
        <v>88</v>
      </c>
      <c r="D34" s="3"/>
      <c r="E34" s="3" t="s">
        <v>10</v>
      </c>
      <c r="F34" s="3">
        <v>4091</v>
      </c>
      <c r="G34" s="1"/>
      <c r="H34" s="1"/>
      <c r="I34" s="1"/>
      <c r="J34" s="1"/>
      <c r="K34" s="1"/>
    </row>
    <row r="35" spans="1:11" x14ac:dyDescent="0.25">
      <c r="A35" s="3">
        <v>34</v>
      </c>
      <c r="B35" s="18" t="s">
        <v>89</v>
      </c>
      <c r="C35" s="3" t="s">
        <v>90</v>
      </c>
      <c r="D35" s="3"/>
      <c r="E35" s="3" t="s">
        <v>10</v>
      </c>
      <c r="F35" s="3">
        <v>56</v>
      </c>
      <c r="G35" s="1"/>
      <c r="H35" s="1"/>
      <c r="I35" s="1"/>
      <c r="J35" s="1"/>
      <c r="K35" s="1"/>
    </row>
    <row r="36" spans="1:11" x14ac:dyDescent="0.25">
      <c r="A36" s="3">
        <v>35</v>
      </c>
      <c r="B36" s="18" t="s">
        <v>91</v>
      </c>
      <c r="C36" s="3" t="s">
        <v>92</v>
      </c>
      <c r="D36" s="3"/>
      <c r="E36" s="3" t="s">
        <v>10</v>
      </c>
      <c r="F36" s="3">
        <v>1912</v>
      </c>
      <c r="G36" s="1"/>
      <c r="H36" s="1"/>
      <c r="I36" s="1"/>
      <c r="J36" s="1"/>
      <c r="K36" s="1"/>
    </row>
    <row r="37" spans="1:11" x14ac:dyDescent="0.25">
      <c r="A37" s="3">
        <v>36</v>
      </c>
      <c r="B37" s="18" t="s">
        <v>93</v>
      </c>
      <c r="C37" s="3" t="s">
        <v>86</v>
      </c>
      <c r="D37" s="3"/>
      <c r="E37" s="3" t="s">
        <v>10</v>
      </c>
      <c r="F37" s="3">
        <v>10628</v>
      </c>
      <c r="G37" s="1"/>
      <c r="H37" s="1"/>
      <c r="I37" s="1"/>
      <c r="J37" s="1"/>
      <c r="K37" s="1"/>
    </row>
    <row r="38" spans="1:11" x14ac:dyDescent="0.25">
      <c r="A38" s="3">
        <v>37</v>
      </c>
      <c r="B38" s="18" t="s">
        <v>94</v>
      </c>
      <c r="C38" s="3" t="s">
        <v>95</v>
      </c>
      <c r="D38" s="3"/>
      <c r="E38" s="3" t="s">
        <v>10</v>
      </c>
      <c r="F38" s="3">
        <v>96</v>
      </c>
      <c r="G38" s="1"/>
      <c r="H38" s="1"/>
      <c r="I38" s="1"/>
      <c r="J38" s="1"/>
      <c r="K38" s="1"/>
    </row>
    <row r="39" spans="1:11" x14ac:dyDescent="0.25">
      <c r="A39" s="3">
        <v>38</v>
      </c>
      <c r="B39" s="18" t="s">
        <v>96</v>
      </c>
      <c r="C39" s="3" t="s">
        <v>86</v>
      </c>
      <c r="D39" s="3"/>
      <c r="E39" s="3" t="s">
        <v>10</v>
      </c>
      <c r="F39" s="3">
        <v>5000</v>
      </c>
      <c r="G39" s="1"/>
      <c r="H39" s="1"/>
      <c r="I39" s="1"/>
      <c r="J39" s="1"/>
      <c r="K39" s="1"/>
    </row>
    <row r="40" spans="1:11" x14ac:dyDescent="0.25">
      <c r="A40" s="1">
        <v>39</v>
      </c>
      <c r="B40" s="2" t="s">
        <v>97</v>
      </c>
      <c r="C40" s="1" t="s">
        <v>98</v>
      </c>
      <c r="D40" s="1"/>
      <c r="E40" s="1" t="s">
        <v>10</v>
      </c>
      <c r="F40" s="1">
        <v>24</v>
      </c>
      <c r="G40" s="1"/>
      <c r="H40" s="1"/>
      <c r="I40" s="1"/>
      <c r="J40" s="1"/>
      <c r="K40" s="1"/>
    </row>
    <row r="41" spans="1:11" x14ac:dyDescent="0.25">
      <c r="A41" s="1">
        <v>40</v>
      </c>
      <c r="B41" s="2" t="s">
        <v>99</v>
      </c>
      <c r="C41" s="1" t="s">
        <v>100</v>
      </c>
      <c r="D41" s="1"/>
      <c r="E41" s="1" t="s">
        <v>10</v>
      </c>
      <c r="F41" s="1">
        <v>20</v>
      </c>
      <c r="G41" s="1"/>
      <c r="H41" s="1"/>
      <c r="I41" s="1"/>
      <c r="J41" s="1"/>
      <c r="K41" s="1"/>
    </row>
    <row r="42" spans="1:11" x14ac:dyDescent="0.25">
      <c r="A42" s="1">
        <v>41</v>
      </c>
      <c r="B42" s="2" t="s">
        <v>99</v>
      </c>
      <c r="C42" s="1" t="s">
        <v>101</v>
      </c>
      <c r="D42" s="1"/>
      <c r="E42" s="1" t="s">
        <v>10</v>
      </c>
      <c r="F42" s="1">
        <v>267</v>
      </c>
      <c r="G42" s="1"/>
      <c r="H42" s="1"/>
      <c r="I42" s="1"/>
      <c r="J42" s="1"/>
      <c r="K42" s="1"/>
    </row>
    <row r="43" spans="1:11" x14ac:dyDescent="0.25">
      <c r="A43" s="1">
        <v>42</v>
      </c>
      <c r="B43" s="2" t="s">
        <v>102</v>
      </c>
      <c r="C43" s="1"/>
      <c r="D43" s="1"/>
      <c r="E43" s="1" t="s">
        <v>10</v>
      </c>
      <c r="F43" s="1">
        <v>2</v>
      </c>
      <c r="G43" s="1"/>
      <c r="H43" s="1"/>
      <c r="I43" s="1"/>
      <c r="J43" s="1"/>
      <c r="K43" s="1"/>
    </row>
    <row r="44" spans="1:11" x14ac:dyDescent="0.25">
      <c r="A44" s="1">
        <v>43</v>
      </c>
      <c r="B44" s="2" t="s">
        <v>103</v>
      </c>
      <c r="C44" s="1" t="s">
        <v>104</v>
      </c>
      <c r="D44" s="1"/>
      <c r="E44" s="1" t="s">
        <v>10</v>
      </c>
      <c r="F44" s="1">
        <v>3</v>
      </c>
      <c r="G44" s="1"/>
      <c r="H44" s="1"/>
      <c r="I44" s="1"/>
      <c r="J44" s="1"/>
      <c r="K44" s="1"/>
    </row>
    <row r="45" spans="1:11" ht="252" x14ac:dyDescent="0.25">
      <c r="A45" s="1">
        <v>44</v>
      </c>
      <c r="B45" s="2" t="s">
        <v>7</v>
      </c>
      <c r="C45" s="1" t="s">
        <v>8</v>
      </c>
      <c r="D45" s="1" t="s">
        <v>9</v>
      </c>
      <c r="E45" s="1" t="s">
        <v>10</v>
      </c>
      <c r="F45" s="1">
        <v>5</v>
      </c>
      <c r="G45" s="35">
        <v>4589.34</v>
      </c>
      <c r="H45" s="35">
        <v>22946.7</v>
      </c>
      <c r="I45" s="35">
        <v>6557.38</v>
      </c>
      <c r="J45" s="35">
        <v>32786.9</v>
      </c>
      <c r="K45" s="1" t="s">
        <v>11</v>
      </c>
    </row>
    <row r="46" spans="1:11" x14ac:dyDescent="0.25">
      <c r="A46" s="1">
        <v>45</v>
      </c>
      <c r="B46" s="2" t="s">
        <v>12</v>
      </c>
      <c r="C46" s="1" t="s">
        <v>13</v>
      </c>
      <c r="D46" s="1" t="s">
        <v>9</v>
      </c>
      <c r="E46" s="1" t="s">
        <v>10</v>
      </c>
      <c r="F46" s="1">
        <v>14</v>
      </c>
      <c r="G46" s="1"/>
      <c r="H46" s="1"/>
      <c r="I46" s="1"/>
      <c r="J46" s="1"/>
      <c r="K46" s="1"/>
    </row>
    <row r="47" spans="1:11" ht="141.75" x14ac:dyDescent="0.25">
      <c r="A47" s="1">
        <v>46</v>
      </c>
      <c r="B47" s="2" t="s">
        <v>105</v>
      </c>
      <c r="C47" s="1" t="s">
        <v>106</v>
      </c>
      <c r="D47" s="1" t="s">
        <v>9</v>
      </c>
      <c r="E47" s="1" t="s">
        <v>10</v>
      </c>
      <c r="F47" s="1">
        <v>3</v>
      </c>
      <c r="G47" s="35">
        <v>49357.91</v>
      </c>
      <c r="H47" s="35">
        <v>148073.73000000001</v>
      </c>
      <c r="I47" s="35">
        <v>25000</v>
      </c>
      <c r="J47" s="35">
        <v>75000</v>
      </c>
      <c r="K47" s="1" t="s">
        <v>107</v>
      </c>
    </row>
    <row r="48" spans="1:11" x14ac:dyDescent="0.25">
      <c r="A48" s="1">
        <v>47</v>
      </c>
      <c r="B48" s="2" t="s">
        <v>108</v>
      </c>
      <c r="C48" s="1" t="s">
        <v>109</v>
      </c>
      <c r="D48" s="1" t="s">
        <v>9</v>
      </c>
      <c r="E48" s="1" t="s">
        <v>10</v>
      </c>
      <c r="F48" s="1">
        <v>4</v>
      </c>
      <c r="G48" s="1"/>
      <c r="H48" s="1"/>
      <c r="I48" s="1"/>
      <c r="J48" s="1"/>
      <c r="K48" s="1"/>
    </row>
    <row r="49" spans="1:11" ht="157.5" x14ac:dyDescent="0.25">
      <c r="A49" s="1">
        <v>48</v>
      </c>
      <c r="B49" s="2" t="s">
        <v>20</v>
      </c>
      <c r="C49" s="1" t="s">
        <v>21</v>
      </c>
      <c r="D49" s="1" t="s">
        <v>9</v>
      </c>
      <c r="E49" s="1" t="s">
        <v>10</v>
      </c>
      <c r="F49" s="1">
        <v>173</v>
      </c>
      <c r="G49" s="35">
        <v>2014.22</v>
      </c>
      <c r="H49" s="35">
        <v>348460.06</v>
      </c>
      <c r="I49" s="35">
        <v>3500</v>
      </c>
      <c r="J49" s="35">
        <v>605500</v>
      </c>
      <c r="K49" s="1" t="s">
        <v>22</v>
      </c>
    </row>
    <row r="50" spans="1:11" ht="157.5" x14ac:dyDescent="0.25">
      <c r="A50" s="1">
        <v>49</v>
      </c>
      <c r="B50" s="2" t="s">
        <v>110</v>
      </c>
      <c r="C50" s="1" t="s">
        <v>111</v>
      </c>
      <c r="D50" s="1" t="s">
        <v>9</v>
      </c>
      <c r="E50" s="1" t="s">
        <v>10</v>
      </c>
      <c r="F50" s="1">
        <v>78</v>
      </c>
      <c r="G50" s="35">
        <v>1141.92</v>
      </c>
      <c r="H50" s="35">
        <v>89069.759999999995</v>
      </c>
      <c r="I50" s="35">
        <v>3500</v>
      </c>
      <c r="J50" s="35">
        <v>273000</v>
      </c>
      <c r="K50" s="1" t="s">
        <v>112</v>
      </c>
    </row>
    <row r="51" spans="1:11" x14ac:dyDescent="0.25">
      <c r="A51" s="1">
        <v>50</v>
      </c>
      <c r="B51" s="2" t="s">
        <v>30</v>
      </c>
      <c r="C51" s="1" t="s">
        <v>31</v>
      </c>
      <c r="D51" s="1" t="s">
        <v>9</v>
      </c>
      <c r="E51" s="1" t="s">
        <v>10</v>
      </c>
      <c r="F51" s="1">
        <v>3</v>
      </c>
      <c r="G51" s="1"/>
      <c r="H51" s="1"/>
      <c r="I51" s="1"/>
      <c r="J51" s="1"/>
      <c r="K51" s="1"/>
    </row>
    <row r="52" spans="1:11" x14ac:dyDescent="0.25">
      <c r="A52" s="1">
        <v>51</v>
      </c>
      <c r="B52" s="2" t="s">
        <v>25</v>
      </c>
      <c r="C52" s="1" t="s">
        <v>26</v>
      </c>
      <c r="D52" s="1" t="s">
        <v>9</v>
      </c>
      <c r="E52" s="1" t="s">
        <v>10</v>
      </c>
      <c r="F52" s="1">
        <v>5</v>
      </c>
      <c r="G52" s="1"/>
      <c r="H52" s="1"/>
      <c r="I52" s="1"/>
      <c r="J52" s="1"/>
      <c r="K52" s="1"/>
    </row>
    <row r="53" spans="1:11" x14ac:dyDescent="0.25">
      <c r="A53" s="1">
        <v>52</v>
      </c>
      <c r="B53" s="2" t="s">
        <v>49</v>
      </c>
      <c r="C53" s="1" t="s">
        <v>50</v>
      </c>
      <c r="D53" s="1" t="s">
        <v>51</v>
      </c>
      <c r="E53" s="1" t="s">
        <v>10</v>
      </c>
      <c r="F53" s="1">
        <v>8</v>
      </c>
      <c r="G53" s="1"/>
      <c r="H53" s="1"/>
      <c r="I53" s="1"/>
      <c r="J53" s="1"/>
      <c r="K53" s="1"/>
    </row>
    <row r="54" spans="1:11" ht="157.5" x14ac:dyDescent="0.25">
      <c r="A54" s="1">
        <v>53</v>
      </c>
      <c r="B54" s="2" t="s">
        <v>27</v>
      </c>
      <c r="C54" s="1" t="s">
        <v>28</v>
      </c>
      <c r="D54" s="1" t="s">
        <v>51</v>
      </c>
      <c r="E54" s="1" t="s">
        <v>10</v>
      </c>
      <c r="F54" s="1">
        <v>9</v>
      </c>
      <c r="G54" s="35">
        <v>1141.92</v>
      </c>
      <c r="H54" s="35">
        <v>10277.280000000001</v>
      </c>
      <c r="I54" s="35">
        <v>3500</v>
      </c>
      <c r="J54" s="35">
        <v>31500</v>
      </c>
      <c r="K54" s="1" t="s">
        <v>29</v>
      </c>
    </row>
    <row r="55" spans="1:11" ht="126" x14ac:dyDescent="0.25">
      <c r="A55" s="1">
        <v>54</v>
      </c>
      <c r="B55" s="2" t="s">
        <v>32</v>
      </c>
      <c r="C55" s="1" t="s">
        <v>33</v>
      </c>
      <c r="D55" s="1" t="s">
        <v>51</v>
      </c>
      <c r="E55" s="1" t="s">
        <v>10</v>
      </c>
      <c r="F55" s="1">
        <v>350</v>
      </c>
      <c r="G55" s="35">
        <v>103.09</v>
      </c>
      <c r="H55" s="35">
        <v>36081.5</v>
      </c>
      <c r="I55" s="35">
        <v>300</v>
      </c>
      <c r="J55" s="35">
        <v>105000</v>
      </c>
      <c r="K55" s="1" t="s">
        <v>34</v>
      </c>
    </row>
    <row r="56" spans="1:11" ht="157.5" x14ac:dyDescent="0.25">
      <c r="A56" s="1">
        <v>55</v>
      </c>
      <c r="B56" s="2" t="s">
        <v>35</v>
      </c>
      <c r="C56" s="1" t="s">
        <v>36</v>
      </c>
      <c r="D56" s="1" t="s">
        <v>51</v>
      </c>
      <c r="E56" s="1" t="s">
        <v>10</v>
      </c>
      <c r="F56" s="1">
        <v>6</v>
      </c>
      <c r="G56" s="35">
        <v>28138.81</v>
      </c>
      <c r="H56" s="35">
        <v>168832.86</v>
      </c>
      <c r="I56" s="35">
        <v>15000</v>
      </c>
      <c r="J56" s="35">
        <v>90000</v>
      </c>
      <c r="K56" s="1" t="s">
        <v>37</v>
      </c>
    </row>
    <row r="57" spans="1:11" x14ac:dyDescent="0.25">
      <c r="A57" s="1">
        <v>56</v>
      </c>
      <c r="B57" s="2" t="s">
        <v>113</v>
      </c>
      <c r="C57" s="1" t="s">
        <v>114</v>
      </c>
      <c r="D57" s="1" t="s">
        <v>115</v>
      </c>
      <c r="E57" s="1" t="s">
        <v>10</v>
      </c>
      <c r="F57" s="1">
        <v>319</v>
      </c>
      <c r="G57" s="1"/>
      <c r="H57" s="1"/>
      <c r="I57" s="1"/>
      <c r="J57" s="1"/>
      <c r="K57" s="1"/>
    </row>
    <row r="58" spans="1:11" ht="252" x14ac:dyDescent="0.25">
      <c r="A58" s="1">
        <v>57</v>
      </c>
      <c r="B58" s="2" t="s">
        <v>43</v>
      </c>
      <c r="C58" s="1" t="s">
        <v>44</v>
      </c>
      <c r="D58" s="1" t="s">
        <v>116</v>
      </c>
      <c r="E58" s="1" t="s">
        <v>10</v>
      </c>
      <c r="F58" s="1">
        <v>20</v>
      </c>
      <c r="G58" s="35">
        <v>924.02</v>
      </c>
      <c r="H58" s="35">
        <v>18480.400000000001</v>
      </c>
      <c r="I58" s="35">
        <v>0</v>
      </c>
      <c r="J58" s="35">
        <v>0</v>
      </c>
      <c r="K58" s="1" t="s">
        <v>46</v>
      </c>
    </row>
    <row r="59" spans="1:11" x14ac:dyDescent="0.25">
      <c r="A59" s="1">
        <v>58</v>
      </c>
      <c r="B59" s="2" t="s">
        <v>47</v>
      </c>
      <c r="C59" s="1" t="s">
        <v>48</v>
      </c>
      <c r="D59" s="1" t="s">
        <v>116</v>
      </c>
      <c r="E59" s="1" t="s">
        <v>10</v>
      </c>
      <c r="F59" s="1">
        <v>10</v>
      </c>
      <c r="G59" s="1"/>
      <c r="H59" s="1"/>
      <c r="I59" s="1"/>
      <c r="J59" s="1"/>
      <c r="K59" s="1"/>
    </row>
    <row r="60" spans="1:11" x14ac:dyDescent="0.25">
      <c r="A60" s="1">
        <v>59</v>
      </c>
      <c r="B60" s="2" t="s">
        <v>52</v>
      </c>
      <c r="C60" s="1" t="s">
        <v>53</v>
      </c>
      <c r="D60" s="1" t="s">
        <v>54</v>
      </c>
      <c r="E60" s="1" t="s">
        <v>10</v>
      </c>
      <c r="F60" s="1">
        <v>2</v>
      </c>
      <c r="G60" s="1"/>
      <c r="H60" s="1"/>
      <c r="I60" s="1"/>
      <c r="J60" s="1"/>
      <c r="K60" s="1"/>
    </row>
    <row r="61" spans="1:11" x14ac:dyDescent="0.25">
      <c r="A61" s="1">
        <v>60</v>
      </c>
      <c r="B61" s="2" t="s">
        <v>55</v>
      </c>
      <c r="C61" s="1" t="s">
        <v>53</v>
      </c>
      <c r="D61" s="1" t="s">
        <v>54</v>
      </c>
      <c r="E61" s="1" t="s">
        <v>10</v>
      </c>
      <c r="F61" s="1">
        <v>29</v>
      </c>
      <c r="G61" s="1"/>
      <c r="H61" s="1"/>
      <c r="I61" s="1"/>
      <c r="J61" s="1"/>
      <c r="K61" s="1"/>
    </row>
    <row r="62" spans="1:11" x14ac:dyDescent="0.25">
      <c r="A62" s="1">
        <v>61</v>
      </c>
      <c r="B62" s="2" t="s">
        <v>117</v>
      </c>
      <c r="C62" s="1" t="s">
        <v>118</v>
      </c>
      <c r="D62" s="1" t="s">
        <v>119</v>
      </c>
      <c r="E62" s="1" t="s">
        <v>10</v>
      </c>
      <c r="F62" s="1">
        <v>5</v>
      </c>
      <c r="G62" s="1"/>
      <c r="H62" s="1"/>
      <c r="I62" s="1"/>
      <c r="J62" s="1"/>
      <c r="K62" s="1"/>
    </row>
    <row r="63" spans="1:11" x14ac:dyDescent="0.25">
      <c r="A63" s="1">
        <v>62</v>
      </c>
      <c r="B63" s="2" t="s">
        <v>120</v>
      </c>
      <c r="C63" s="1" t="s">
        <v>121</v>
      </c>
      <c r="D63" s="1" t="s">
        <v>119</v>
      </c>
      <c r="E63" s="1" t="s">
        <v>10</v>
      </c>
      <c r="F63" s="1">
        <v>1</v>
      </c>
      <c r="G63" s="1"/>
      <c r="H63" s="1"/>
      <c r="I63" s="1"/>
      <c r="J63" s="1"/>
      <c r="K63" s="1"/>
    </row>
    <row r="64" spans="1:11" x14ac:dyDescent="0.25">
      <c r="A64" s="1">
        <v>63</v>
      </c>
      <c r="B64" s="2" t="s">
        <v>122</v>
      </c>
      <c r="C64" s="1" t="s">
        <v>123</v>
      </c>
      <c r="D64" s="1" t="s">
        <v>119</v>
      </c>
      <c r="E64" s="1" t="s">
        <v>10</v>
      </c>
      <c r="F64" s="1">
        <v>2</v>
      </c>
      <c r="G64" s="1"/>
      <c r="H64" s="1"/>
      <c r="I64" s="1"/>
      <c r="J64" s="1"/>
      <c r="K64" s="1"/>
    </row>
    <row r="65" spans="1:11" ht="120" x14ac:dyDescent="0.25">
      <c r="A65" s="6">
        <v>64</v>
      </c>
      <c r="B65" s="7" t="s">
        <v>62</v>
      </c>
      <c r="C65" s="6"/>
      <c r="D65" s="6" t="s">
        <v>61</v>
      </c>
      <c r="E65" s="6" t="s">
        <v>10</v>
      </c>
      <c r="F65" s="6">
        <v>12</v>
      </c>
      <c r="G65" s="36">
        <v>2310</v>
      </c>
      <c r="H65" s="36">
        <v>27720</v>
      </c>
      <c r="I65" s="36"/>
      <c r="J65" s="36"/>
      <c r="K65" s="6" t="s">
        <v>63</v>
      </c>
    </row>
    <row r="66" spans="1:11" ht="30" customHeight="1" x14ac:dyDescent="0.25">
      <c r="A66" s="6">
        <v>65</v>
      </c>
      <c r="B66" s="7" t="s">
        <v>124</v>
      </c>
      <c r="C66" s="6" t="s">
        <v>125</v>
      </c>
      <c r="D66" s="6" t="s">
        <v>126</v>
      </c>
      <c r="E66" s="6" t="s">
        <v>10</v>
      </c>
      <c r="F66" s="6">
        <v>2</v>
      </c>
      <c r="G66" s="6"/>
      <c r="H66" s="6"/>
      <c r="I66" s="6"/>
      <c r="J66" s="6"/>
      <c r="K66" s="6"/>
    </row>
    <row r="67" spans="1:11" ht="30" customHeight="1" x14ac:dyDescent="0.25">
      <c r="A67" s="6">
        <v>66</v>
      </c>
      <c r="B67" s="7" t="s">
        <v>65</v>
      </c>
      <c r="C67" s="6" t="s">
        <v>66</v>
      </c>
      <c r="D67" s="6" t="s">
        <v>67</v>
      </c>
      <c r="E67" s="6" t="s">
        <v>68</v>
      </c>
      <c r="F67" s="6">
        <v>3300</v>
      </c>
      <c r="G67" s="6"/>
      <c r="H67" s="6"/>
      <c r="I67" s="6"/>
      <c r="J67" s="6"/>
      <c r="K67" s="6"/>
    </row>
    <row r="68" spans="1:11" ht="30" customHeight="1" x14ac:dyDescent="0.25">
      <c r="A68" s="6">
        <v>67</v>
      </c>
      <c r="B68" s="7" t="s">
        <v>65</v>
      </c>
      <c r="C68" s="6" t="s">
        <v>127</v>
      </c>
      <c r="D68" s="6" t="s">
        <v>67</v>
      </c>
      <c r="E68" s="6" t="s">
        <v>68</v>
      </c>
      <c r="F68" s="6">
        <v>3850</v>
      </c>
      <c r="G68" s="6"/>
      <c r="H68" s="6"/>
      <c r="I68" s="6"/>
      <c r="J68" s="6"/>
      <c r="K68" s="6"/>
    </row>
    <row r="69" spans="1:11" ht="30" customHeight="1" x14ac:dyDescent="0.25">
      <c r="A69" s="6">
        <v>68</v>
      </c>
      <c r="B69" s="7" t="s">
        <v>65</v>
      </c>
      <c r="C69" s="6" t="s">
        <v>128</v>
      </c>
      <c r="D69" s="6" t="s">
        <v>67</v>
      </c>
      <c r="E69" s="6" t="s">
        <v>68</v>
      </c>
      <c r="F69" s="6">
        <v>350</v>
      </c>
      <c r="G69" s="6"/>
      <c r="H69" s="6"/>
      <c r="I69" s="6"/>
      <c r="J69" s="6"/>
      <c r="K69" s="6"/>
    </row>
    <row r="70" spans="1:11" ht="30" customHeight="1" x14ac:dyDescent="0.25">
      <c r="A70" s="6">
        <v>69</v>
      </c>
      <c r="B70" s="7" t="s">
        <v>65</v>
      </c>
      <c r="C70" s="6" t="s">
        <v>69</v>
      </c>
      <c r="D70" s="6" t="s">
        <v>67</v>
      </c>
      <c r="E70" s="6" t="s">
        <v>68</v>
      </c>
      <c r="F70" s="6">
        <v>750</v>
      </c>
      <c r="G70" s="6"/>
      <c r="H70" s="6"/>
      <c r="I70" s="6"/>
      <c r="J70" s="6"/>
      <c r="K70" s="6"/>
    </row>
    <row r="71" spans="1:11" x14ac:dyDescent="0.25">
      <c r="A71" s="6">
        <v>70</v>
      </c>
      <c r="B71" s="7" t="s">
        <v>70</v>
      </c>
      <c r="C71" s="6" t="s">
        <v>71</v>
      </c>
      <c r="D71" s="6" t="s">
        <v>72</v>
      </c>
      <c r="E71" s="6" t="s">
        <v>68</v>
      </c>
      <c r="F71" s="6">
        <v>210</v>
      </c>
      <c r="G71" s="6"/>
      <c r="H71" s="6"/>
      <c r="I71" s="6"/>
      <c r="J71" s="6"/>
      <c r="K71" s="6"/>
    </row>
    <row r="72" spans="1:11" x14ac:dyDescent="0.25">
      <c r="A72" s="6">
        <v>71</v>
      </c>
      <c r="B72" s="7" t="s">
        <v>73</v>
      </c>
      <c r="C72" s="6" t="s">
        <v>74</v>
      </c>
      <c r="D72" s="3" t="s">
        <v>75</v>
      </c>
      <c r="E72" s="6" t="s">
        <v>68</v>
      </c>
      <c r="F72" s="6">
        <v>8500</v>
      </c>
      <c r="G72" s="6"/>
      <c r="H72" s="6"/>
      <c r="I72" s="6"/>
      <c r="J72" s="6"/>
      <c r="K72" s="6"/>
    </row>
    <row r="73" spans="1:11" x14ac:dyDescent="0.25">
      <c r="A73" s="6">
        <v>72</v>
      </c>
      <c r="B73" s="7" t="s">
        <v>129</v>
      </c>
      <c r="C73" s="6" t="s">
        <v>77</v>
      </c>
      <c r="D73" s="3" t="s">
        <v>75</v>
      </c>
      <c r="E73" s="6" t="s">
        <v>78</v>
      </c>
      <c r="F73" s="6">
        <v>283</v>
      </c>
      <c r="G73" s="6"/>
      <c r="H73" s="6"/>
      <c r="I73" s="6"/>
      <c r="J73" s="6"/>
      <c r="K73" s="6"/>
    </row>
    <row r="74" spans="1:11" x14ac:dyDescent="0.25">
      <c r="A74" s="6">
        <v>73</v>
      </c>
      <c r="B74" s="7" t="s">
        <v>79</v>
      </c>
      <c r="C74" s="6" t="s">
        <v>130</v>
      </c>
      <c r="D74" s="3" t="s">
        <v>75</v>
      </c>
      <c r="E74" s="6" t="s">
        <v>10</v>
      </c>
      <c r="F74" s="6">
        <v>300</v>
      </c>
      <c r="G74" s="6"/>
      <c r="H74" s="6"/>
      <c r="I74" s="6"/>
      <c r="J74" s="6"/>
      <c r="K74" s="6" t="s">
        <v>131</v>
      </c>
    </row>
    <row r="75" spans="1:11" x14ac:dyDescent="0.25">
      <c r="A75" s="6">
        <v>74</v>
      </c>
      <c r="B75" s="7" t="s">
        <v>132</v>
      </c>
      <c r="C75" s="6">
        <v>150</v>
      </c>
      <c r="D75" s="3" t="s">
        <v>75</v>
      </c>
      <c r="E75" s="6" t="s">
        <v>10</v>
      </c>
      <c r="F75" s="6">
        <v>450</v>
      </c>
      <c r="G75" s="6"/>
      <c r="H75" s="6"/>
      <c r="I75" s="6"/>
      <c r="J75" s="6"/>
      <c r="K75" s="6" t="s">
        <v>133</v>
      </c>
    </row>
    <row r="76" spans="1:11" x14ac:dyDescent="0.25">
      <c r="A76" s="6">
        <v>75</v>
      </c>
      <c r="B76" s="7" t="s">
        <v>81</v>
      </c>
      <c r="C76" s="6" t="s">
        <v>82</v>
      </c>
      <c r="D76" s="3" t="s">
        <v>75</v>
      </c>
      <c r="E76" s="6" t="s">
        <v>78</v>
      </c>
      <c r="F76" s="6">
        <v>3</v>
      </c>
      <c r="G76" s="6"/>
      <c r="H76" s="6"/>
      <c r="I76" s="6"/>
      <c r="J76" s="6"/>
      <c r="K76" s="6"/>
    </row>
    <row r="77" spans="1:11" x14ac:dyDescent="0.25">
      <c r="A77" s="6">
        <v>76</v>
      </c>
      <c r="B77" s="7" t="s">
        <v>83</v>
      </c>
      <c r="C77" s="6" t="s">
        <v>134</v>
      </c>
      <c r="D77" s="3" t="s">
        <v>75</v>
      </c>
      <c r="E77" s="6" t="s">
        <v>78</v>
      </c>
      <c r="F77" s="6">
        <v>11</v>
      </c>
      <c r="G77" s="6"/>
      <c r="H77" s="6"/>
      <c r="I77" s="6"/>
      <c r="J77" s="6"/>
      <c r="K77" s="6"/>
    </row>
    <row r="78" spans="1:11" x14ac:dyDescent="0.25">
      <c r="A78" s="6">
        <v>77</v>
      </c>
      <c r="B78" s="7" t="s">
        <v>87</v>
      </c>
      <c r="C78" s="6" t="s">
        <v>135</v>
      </c>
      <c r="D78" s="6"/>
      <c r="E78" s="6" t="s">
        <v>10</v>
      </c>
      <c r="F78" s="6">
        <v>450</v>
      </c>
      <c r="G78" s="6"/>
      <c r="H78" s="6"/>
      <c r="I78" s="6"/>
      <c r="J78" s="6"/>
      <c r="K78" s="6"/>
    </row>
    <row r="79" spans="1:11" x14ac:dyDescent="0.25">
      <c r="A79" s="6">
        <v>78</v>
      </c>
      <c r="B79" s="7" t="s">
        <v>87</v>
      </c>
      <c r="C79" s="6" t="s">
        <v>136</v>
      </c>
      <c r="D79" s="6"/>
      <c r="E79" s="6" t="s">
        <v>10</v>
      </c>
      <c r="F79" s="6">
        <v>5</v>
      </c>
      <c r="G79" s="6"/>
      <c r="H79" s="6"/>
      <c r="I79" s="6"/>
      <c r="J79" s="6"/>
      <c r="K79" s="6"/>
    </row>
    <row r="80" spans="1:11" x14ac:dyDescent="0.25">
      <c r="A80" s="6">
        <v>79</v>
      </c>
      <c r="B80" s="7" t="s">
        <v>137</v>
      </c>
      <c r="C80" s="6" t="s">
        <v>138</v>
      </c>
      <c r="D80" s="6"/>
      <c r="E80" s="6" t="s">
        <v>10</v>
      </c>
      <c r="F80" s="6">
        <v>10</v>
      </c>
      <c r="G80" s="6"/>
      <c r="H80" s="6"/>
      <c r="I80" s="6"/>
      <c r="J80" s="6"/>
      <c r="K80" s="6"/>
    </row>
    <row r="81" spans="1:11" x14ac:dyDescent="0.25">
      <c r="A81" s="6">
        <v>80</v>
      </c>
      <c r="B81" s="7" t="s">
        <v>94</v>
      </c>
      <c r="C81" s="6" t="s">
        <v>86</v>
      </c>
      <c r="D81" s="6"/>
      <c r="E81" s="6" t="s">
        <v>10</v>
      </c>
      <c r="F81" s="6">
        <v>1380</v>
      </c>
      <c r="G81" s="6"/>
      <c r="H81" s="6"/>
      <c r="I81" s="6"/>
      <c r="J81" s="6"/>
      <c r="K81" s="6"/>
    </row>
    <row r="82" spans="1:11" x14ac:dyDescent="0.25">
      <c r="A82" s="6">
        <v>81</v>
      </c>
      <c r="B82" s="7" t="s">
        <v>96</v>
      </c>
      <c r="C82" s="6" t="s">
        <v>86</v>
      </c>
      <c r="D82" s="6"/>
      <c r="E82" s="6" t="s">
        <v>10</v>
      </c>
      <c r="F82" s="6">
        <v>1380</v>
      </c>
      <c r="G82" s="6"/>
      <c r="H82" s="6"/>
      <c r="I82" s="6"/>
      <c r="J82" s="6"/>
      <c r="K82" s="6"/>
    </row>
    <row r="83" spans="1:11" x14ac:dyDescent="0.25">
      <c r="A83" s="6">
        <v>82</v>
      </c>
      <c r="B83" s="7" t="s">
        <v>139</v>
      </c>
      <c r="C83" s="6" t="s">
        <v>86</v>
      </c>
      <c r="D83" s="6"/>
      <c r="E83" s="6" t="s">
        <v>10</v>
      </c>
      <c r="F83" s="6">
        <v>450</v>
      </c>
      <c r="G83" s="6"/>
      <c r="H83" s="6"/>
      <c r="I83" s="6"/>
      <c r="J83" s="6"/>
      <c r="K83" s="6"/>
    </row>
    <row r="84" spans="1:11" x14ac:dyDescent="0.25">
      <c r="A84" s="6">
        <v>83</v>
      </c>
      <c r="B84" s="7" t="s">
        <v>140</v>
      </c>
      <c r="C84" s="6" t="s">
        <v>141</v>
      </c>
      <c r="D84" s="6" t="s">
        <v>142</v>
      </c>
      <c r="E84" s="6" t="s">
        <v>10</v>
      </c>
      <c r="F84" s="6">
        <v>2700</v>
      </c>
      <c r="G84" s="6"/>
      <c r="H84" s="6"/>
      <c r="I84" s="6"/>
      <c r="J84" s="6"/>
      <c r="K84" s="6"/>
    </row>
    <row r="85" spans="1:11" x14ac:dyDescent="0.25">
      <c r="A85" s="6">
        <v>84</v>
      </c>
      <c r="B85" s="7" t="s">
        <v>143</v>
      </c>
      <c r="C85" s="6" t="s">
        <v>144</v>
      </c>
      <c r="D85" s="6" t="s">
        <v>142</v>
      </c>
      <c r="E85" s="6" t="s">
        <v>10</v>
      </c>
      <c r="F85" s="6">
        <v>3</v>
      </c>
      <c r="G85" s="6"/>
      <c r="H85" s="6"/>
      <c r="I85" s="6"/>
      <c r="J85" s="6"/>
      <c r="K85" s="6"/>
    </row>
    <row r="86" spans="1:11" x14ac:dyDescent="0.25">
      <c r="A86" s="6">
        <v>85</v>
      </c>
      <c r="B86" s="7" t="s">
        <v>102</v>
      </c>
      <c r="C86" s="6"/>
      <c r="D86" s="6"/>
      <c r="E86" s="6" t="s">
        <v>10</v>
      </c>
      <c r="F86" s="6">
        <v>3</v>
      </c>
      <c r="G86" s="6"/>
      <c r="H86" s="6"/>
      <c r="I86" s="6"/>
      <c r="J86" s="6"/>
      <c r="K86" s="6"/>
    </row>
    <row r="87" spans="1:11" x14ac:dyDescent="0.25">
      <c r="A87" s="6">
        <v>86</v>
      </c>
      <c r="B87" s="7" t="s">
        <v>103</v>
      </c>
      <c r="C87" s="6" t="s">
        <v>104</v>
      </c>
      <c r="D87" s="6"/>
      <c r="E87" s="6" t="s">
        <v>10</v>
      </c>
      <c r="F87" s="6">
        <v>11</v>
      </c>
      <c r="G87" s="6"/>
      <c r="H87" s="6"/>
      <c r="I87" s="6"/>
      <c r="J87" s="6"/>
      <c r="K87" s="6"/>
    </row>
    <row r="88" spans="1:11" x14ac:dyDescent="0.25">
      <c r="A88" s="6">
        <v>87</v>
      </c>
      <c r="B88" s="7" t="s">
        <v>145</v>
      </c>
      <c r="C88" s="6"/>
      <c r="D88" s="6"/>
      <c r="E88" s="6" t="s">
        <v>146</v>
      </c>
      <c r="F88" s="6">
        <v>1</v>
      </c>
      <c r="G88" s="6"/>
      <c r="H88" s="6"/>
      <c r="I88" s="6"/>
      <c r="J88" s="6"/>
      <c r="K88" s="6"/>
    </row>
    <row r="89" spans="1:11" s="5" customFormat="1" ht="15" customHeight="1" outlineLevel="1" x14ac:dyDescent="0.25">
      <c r="A89" s="42" t="s">
        <v>147</v>
      </c>
      <c r="B89" s="43"/>
      <c r="C89" s="43"/>
      <c r="D89" s="43"/>
      <c r="E89" s="43"/>
      <c r="F89" s="43"/>
      <c r="G89" s="43"/>
      <c r="H89" s="43"/>
      <c r="I89" s="43"/>
      <c r="J89" s="43"/>
      <c r="K89" s="43"/>
    </row>
    <row r="90" spans="1:11" s="5" customFormat="1" x14ac:dyDescent="0.25">
      <c r="A90" s="1">
        <v>1</v>
      </c>
      <c r="B90" s="2" t="s">
        <v>148</v>
      </c>
      <c r="C90" s="40" t="s">
        <v>149</v>
      </c>
      <c r="D90" s="41"/>
      <c r="E90" s="1" t="s">
        <v>146</v>
      </c>
      <c r="F90" s="1">
        <v>1</v>
      </c>
      <c r="G90" s="1"/>
      <c r="H90" s="1"/>
      <c r="I90" s="20"/>
      <c r="J90" s="21">
        <v>400000</v>
      </c>
      <c r="K90" s="21">
        <f t="shared" ref="K90:K95" si="0">F90*J90</f>
        <v>400000</v>
      </c>
    </row>
    <row r="91" spans="1:11" s="5" customFormat="1" x14ac:dyDescent="0.25">
      <c r="A91" s="1">
        <v>2</v>
      </c>
      <c r="B91" s="2" t="s">
        <v>150</v>
      </c>
      <c r="C91" s="18"/>
      <c r="D91" s="18"/>
      <c r="E91" s="1" t="s">
        <v>146</v>
      </c>
      <c r="F91" s="1">
        <v>1</v>
      </c>
      <c r="G91" s="1"/>
      <c r="H91" s="1"/>
      <c r="I91" s="20"/>
      <c r="J91" s="21">
        <f>J88*0.03</f>
        <v>0</v>
      </c>
      <c r="K91" s="21">
        <f t="shared" si="0"/>
        <v>0</v>
      </c>
    </row>
    <row r="92" spans="1:11" s="5" customFormat="1" x14ac:dyDescent="0.25">
      <c r="A92" s="1">
        <v>3</v>
      </c>
      <c r="B92" s="2" t="s">
        <v>151</v>
      </c>
      <c r="C92" s="18"/>
      <c r="D92" s="18"/>
      <c r="E92" s="1" t="s">
        <v>146</v>
      </c>
      <c r="F92" s="1">
        <v>1</v>
      </c>
      <c r="G92" s="1"/>
      <c r="H92" s="1"/>
      <c r="I92" s="20"/>
      <c r="J92" s="21">
        <f>J88*0.02</f>
        <v>0</v>
      </c>
      <c r="K92" s="21">
        <f t="shared" si="0"/>
        <v>0</v>
      </c>
    </row>
    <row r="93" spans="1:11" s="5" customFormat="1" x14ac:dyDescent="0.25">
      <c r="A93" s="1">
        <v>4</v>
      </c>
      <c r="B93" s="2" t="s">
        <v>152</v>
      </c>
      <c r="C93" s="18"/>
      <c r="D93" s="18"/>
      <c r="E93" s="1" t="s">
        <v>146</v>
      </c>
      <c r="F93" s="1">
        <v>1</v>
      </c>
      <c r="G93" s="1"/>
      <c r="H93" s="1"/>
      <c r="I93" s="20"/>
      <c r="J93" s="21" t="e">
        <f>#REF!*0.06</f>
        <v>#REF!</v>
      </c>
      <c r="K93" s="21" t="e">
        <f t="shared" si="0"/>
        <v>#REF!</v>
      </c>
    </row>
    <row r="94" spans="1:11" s="5" customFormat="1" x14ac:dyDescent="0.25">
      <c r="A94" s="1">
        <v>5</v>
      </c>
      <c r="B94" s="2" t="s">
        <v>153</v>
      </c>
      <c r="C94" s="18"/>
      <c r="D94" s="18"/>
      <c r="E94" s="1" t="s">
        <v>146</v>
      </c>
      <c r="F94" s="1">
        <v>1</v>
      </c>
      <c r="G94" s="1"/>
      <c r="H94" s="1"/>
      <c r="I94" s="20"/>
      <c r="J94" s="21" t="e">
        <f>(J88+#REF!)*0.02</f>
        <v>#REF!</v>
      </c>
      <c r="K94" s="21" t="e">
        <f t="shared" si="0"/>
        <v>#REF!</v>
      </c>
    </row>
    <row r="95" spans="1:11" s="5" customFormat="1" x14ac:dyDescent="0.25">
      <c r="A95" s="1">
        <v>6</v>
      </c>
      <c r="B95" s="2" t="s">
        <v>154</v>
      </c>
      <c r="C95" s="18"/>
      <c r="D95" s="18"/>
      <c r="E95" s="1" t="s">
        <v>146</v>
      </c>
      <c r="F95" s="1">
        <v>1</v>
      </c>
      <c r="G95" s="1"/>
      <c r="H95" s="1"/>
      <c r="I95" s="20"/>
      <c r="J95" s="21">
        <v>150000</v>
      </c>
      <c r="K95" s="21">
        <f t="shared" si="0"/>
        <v>150000</v>
      </c>
    </row>
    <row r="96" spans="1:11" s="5" customFormat="1" x14ac:dyDescent="0.25">
      <c r="A96" s="1">
        <v>7</v>
      </c>
      <c r="B96" s="2" t="s">
        <v>155</v>
      </c>
      <c r="C96" s="18"/>
      <c r="D96" s="18"/>
      <c r="E96" s="1"/>
      <c r="F96" s="1"/>
      <c r="G96" s="1"/>
      <c r="H96" s="1"/>
      <c r="I96" s="20"/>
      <c r="J96" s="21"/>
      <c r="K96" s="22" t="e">
        <f>SUM(K90:K95)</f>
        <v>#REF!</v>
      </c>
    </row>
    <row r="97" spans="1:11" s="5" customFormat="1" x14ac:dyDescent="0.25">
      <c r="A97" s="1">
        <v>8</v>
      </c>
      <c r="B97" s="2" t="s">
        <v>156</v>
      </c>
      <c r="C97" s="18"/>
      <c r="D97" s="18"/>
      <c r="E97" s="2"/>
      <c r="F97" s="2"/>
      <c r="G97" s="2"/>
      <c r="H97" s="2"/>
      <c r="I97" s="20"/>
      <c r="J97" s="21"/>
      <c r="K97" s="21">
        <f>J88</f>
        <v>0</v>
      </c>
    </row>
    <row r="98" spans="1:11" s="5" customFormat="1" x14ac:dyDescent="0.25">
      <c r="A98" s="1">
        <v>9</v>
      </c>
      <c r="B98" s="2" t="s">
        <v>157</v>
      </c>
      <c r="C98" s="18"/>
      <c r="D98" s="18"/>
      <c r="E98" s="2"/>
      <c r="F98" s="2"/>
      <c r="G98" s="2"/>
      <c r="H98" s="2"/>
      <c r="I98" s="20"/>
      <c r="J98" s="21"/>
      <c r="K98" s="21" t="e">
        <f>#REF!</f>
        <v>#REF!</v>
      </c>
    </row>
    <row r="99" spans="1:11" s="5" customFormat="1" x14ac:dyDescent="0.25">
      <c r="A99" s="1">
        <v>10</v>
      </c>
      <c r="B99" s="2" t="s">
        <v>158</v>
      </c>
      <c r="C99" s="18"/>
      <c r="D99" s="18"/>
      <c r="E99" s="2"/>
      <c r="F99" s="2"/>
      <c r="G99" s="2"/>
      <c r="H99" s="2"/>
      <c r="I99" s="20"/>
      <c r="J99" s="21"/>
      <c r="K99" s="21" t="e">
        <f>K96</f>
        <v>#REF!</v>
      </c>
    </row>
    <row r="100" spans="1:11" s="5" customFormat="1" x14ac:dyDescent="0.25">
      <c r="A100" s="1">
        <v>11</v>
      </c>
      <c r="B100" s="2" t="s">
        <v>159</v>
      </c>
      <c r="C100" s="18"/>
      <c r="D100" s="18"/>
      <c r="E100" s="2"/>
      <c r="F100" s="2"/>
      <c r="G100" s="2"/>
      <c r="H100" s="2"/>
      <c r="I100" s="20"/>
      <c r="J100" s="21"/>
      <c r="K100" s="22" t="e">
        <f>SUM(K97:K99)</f>
        <v>#REF!</v>
      </c>
    </row>
    <row r="101" spans="1:11" s="5" customFormat="1" x14ac:dyDescent="0.25">
      <c r="A101" s="1">
        <v>12</v>
      </c>
      <c r="B101" s="2" t="s">
        <v>160</v>
      </c>
      <c r="C101" s="18"/>
      <c r="D101" s="18"/>
      <c r="E101" s="2"/>
      <c r="F101" s="2"/>
      <c r="G101" s="2"/>
      <c r="H101" s="2"/>
      <c r="I101" s="20"/>
      <c r="J101" s="21"/>
      <c r="K101" s="21" t="e">
        <f>K100*22/120</f>
        <v>#REF!</v>
      </c>
    </row>
    <row r="102" spans="1:11" s="5" customFormat="1" x14ac:dyDescent="0.25">
      <c r="A102" s="12"/>
      <c r="B102" s="23" t="s">
        <v>161</v>
      </c>
      <c r="C102" s="9"/>
      <c r="D102" s="10"/>
      <c r="E102" s="13"/>
      <c r="F102" s="13"/>
      <c r="G102" s="24"/>
      <c r="H102" s="24"/>
      <c r="I102" s="24"/>
      <c r="J102" s="24"/>
      <c r="K102" s="24"/>
    </row>
    <row r="103" spans="1:11" s="5" customFormat="1" ht="110.25" customHeight="1" x14ac:dyDescent="0.25">
      <c r="A103" s="12"/>
      <c r="B103" s="25" t="s">
        <v>162</v>
      </c>
      <c r="C103" s="9"/>
      <c r="D103" s="10"/>
      <c r="E103" s="13"/>
      <c r="F103" s="13"/>
      <c r="G103" s="24"/>
      <c r="H103" s="24"/>
      <c r="I103" s="24"/>
      <c r="J103" s="24"/>
      <c r="K103" s="24"/>
    </row>
  </sheetData>
  <mergeCells count="2">
    <mergeCell ref="C90:D90"/>
    <mergeCell ref="A89:K89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1"/>
  <sheetViews>
    <sheetView zoomScale="85" zoomScaleNormal="85" workbookViewId="0">
      <selection sqref="A1:XFD1"/>
    </sheetView>
  </sheetViews>
  <sheetFormatPr defaultColWidth="11.42578125" defaultRowHeight="15.75" outlineLevelRow="1" x14ac:dyDescent="0.25"/>
  <cols>
    <col min="1" max="1" width="4.85546875" style="14" customWidth="1"/>
    <col min="2" max="2" width="28.7109375" style="19" customWidth="1"/>
    <col min="3" max="3" width="25.5703125" style="14" customWidth="1"/>
    <col min="4" max="4" width="24.42578125" style="14" customWidth="1"/>
    <col min="5" max="5" width="11.42578125" style="14" customWidth="1"/>
    <col min="6" max="6" width="11.5703125" style="14" bestFit="1" customWidth="1"/>
    <col min="7" max="11" width="16" style="14" customWidth="1"/>
    <col min="12" max="12" width="13.7109375" style="14" bestFit="1" customWidth="1"/>
    <col min="13" max="13" width="11.42578125" style="14" customWidth="1"/>
    <col min="14" max="16384" width="11.42578125" style="14"/>
  </cols>
  <sheetData>
    <row r="1" spans="1:11" s="11" customFormat="1" ht="72" customHeight="1" x14ac:dyDescent="0.2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7" t="s">
        <v>398</v>
      </c>
      <c r="H1" s="17" t="s">
        <v>399</v>
      </c>
      <c r="I1" s="17" t="s">
        <v>400</v>
      </c>
      <c r="J1" s="17" t="s">
        <v>401</v>
      </c>
      <c r="K1" s="17" t="s">
        <v>6</v>
      </c>
    </row>
    <row r="2" spans="1:11" ht="47.25" customHeight="1" x14ac:dyDescent="0.25">
      <c r="A2" s="1">
        <v>1</v>
      </c>
      <c r="B2" s="2" t="s">
        <v>7</v>
      </c>
      <c r="C2" s="1" t="s">
        <v>8</v>
      </c>
      <c r="D2" s="1" t="s">
        <v>9</v>
      </c>
      <c r="E2" s="1" t="s">
        <v>10</v>
      </c>
      <c r="F2" s="1">
        <v>4</v>
      </c>
      <c r="G2" s="35">
        <v>4589.34</v>
      </c>
      <c r="H2" s="35">
        <v>18357.36</v>
      </c>
      <c r="I2" s="35">
        <v>6557.38</v>
      </c>
      <c r="J2" s="35">
        <v>26229.52</v>
      </c>
      <c r="K2" s="1" t="s">
        <v>11</v>
      </c>
    </row>
    <row r="3" spans="1:11" ht="31.5" x14ac:dyDescent="0.25">
      <c r="A3" s="1">
        <v>2</v>
      </c>
      <c r="B3" s="2" t="s">
        <v>12</v>
      </c>
      <c r="C3" s="1" t="s">
        <v>13</v>
      </c>
      <c r="D3" s="1" t="s">
        <v>9</v>
      </c>
      <c r="E3" s="1" t="s">
        <v>10</v>
      </c>
      <c r="F3" s="1">
        <v>13</v>
      </c>
      <c r="G3" s="1"/>
      <c r="H3" s="1"/>
      <c r="I3" s="1"/>
      <c r="J3" s="1"/>
      <c r="K3" s="1"/>
    </row>
    <row r="4" spans="1:11" ht="31.5" customHeight="1" x14ac:dyDescent="0.25">
      <c r="A4" s="1">
        <v>3</v>
      </c>
      <c r="B4" s="2" t="s">
        <v>163</v>
      </c>
      <c r="C4" s="1" t="s">
        <v>164</v>
      </c>
      <c r="D4" s="1" t="s">
        <v>9</v>
      </c>
      <c r="E4" s="1" t="s">
        <v>10</v>
      </c>
      <c r="F4" s="1">
        <v>2</v>
      </c>
      <c r="G4" s="35">
        <v>8079.08</v>
      </c>
      <c r="H4" s="35">
        <v>16158.16</v>
      </c>
      <c r="I4" s="35">
        <v>4725</v>
      </c>
      <c r="J4" s="35">
        <v>9450</v>
      </c>
      <c r="K4" s="1" t="s">
        <v>165</v>
      </c>
    </row>
    <row r="5" spans="1:11" ht="31.5" customHeight="1" x14ac:dyDescent="0.25">
      <c r="A5" s="1">
        <v>4</v>
      </c>
      <c r="B5" s="2" t="s">
        <v>14</v>
      </c>
      <c r="C5" s="1" t="s">
        <v>166</v>
      </c>
      <c r="D5" s="1" t="s">
        <v>9</v>
      </c>
      <c r="E5" s="1" t="s">
        <v>10</v>
      </c>
      <c r="F5" s="1">
        <v>39</v>
      </c>
      <c r="G5" s="35">
        <v>3272.13</v>
      </c>
      <c r="H5" s="35">
        <v>127613.07</v>
      </c>
      <c r="I5" s="35">
        <v>4508.2</v>
      </c>
      <c r="J5" s="35">
        <v>175819.8</v>
      </c>
      <c r="K5" s="1" t="s">
        <v>167</v>
      </c>
    </row>
    <row r="6" spans="1:11" x14ac:dyDescent="0.25">
      <c r="A6" s="1">
        <v>5</v>
      </c>
      <c r="B6" s="2" t="s">
        <v>168</v>
      </c>
      <c r="C6" s="1" t="s">
        <v>169</v>
      </c>
      <c r="D6" s="1" t="s">
        <v>9</v>
      </c>
      <c r="E6" s="1" t="s">
        <v>10</v>
      </c>
      <c r="F6" s="1">
        <v>6</v>
      </c>
      <c r="G6" s="1"/>
      <c r="H6" s="1"/>
      <c r="I6" s="1"/>
      <c r="J6" s="1"/>
      <c r="K6" s="1"/>
    </row>
    <row r="7" spans="1:11" ht="31.5" customHeight="1" x14ac:dyDescent="0.25">
      <c r="A7" s="1">
        <v>6</v>
      </c>
      <c r="B7" s="2" t="s">
        <v>170</v>
      </c>
      <c r="C7" s="1" t="s">
        <v>171</v>
      </c>
      <c r="D7" s="1" t="s">
        <v>9</v>
      </c>
      <c r="E7" s="1" t="s">
        <v>10</v>
      </c>
      <c r="F7" s="1">
        <v>74</v>
      </c>
      <c r="G7" s="35">
        <v>1243.42</v>
      </c>
      <c r="H7" s="35">
        <v>92013.08</v>
      </c>
      <c r="I7" s="35">
        <v>2500</v>
      </c>
      <c r="J7" s="35">
        <v>185000</v>
      </c>
      <c r="K7" s="1" t="s">
        <v>172</v>
      </c>
    </row>
    <row r="8" spans="1:11" ht="31.5" customHeight="1" x14ac:dyDescent="0.25">
      <c r="A8" s="1">
        <v>7</v>
      </c>
      <c r="B8" s="2" t="s">
        <v>35</v>
      </c>
      <c r="C8" s="1" t="s">
        <v>36</v>
      </c>
      <c r="D8" s="1" t="s">
        <v>9</v>
      </c>
      <c r="E8" s="1" t="s">
        <v>10</v>
      </c>
      <c r="F8" s="1">
        <v>5</v>
      </c>
      <c r="G8" s="35">
        <v>28138.81</v>
      </c>
      <c r="H8" s="35">
        <v>140694.04999999999</v>
      </c>
      <c r="I8" s="35">
        <v>15000</v>
      </c>
      <c r="J8" s="35">
        <v>75000</v>
      </c>
      <c r="K8" s="1" t="s">
        <v>37</v>
      </c>
    </row>
    <row r="9" spans="1:11" ht="31.5" customHeight="1" x14ac:dyDescent="0.25">
      <c r="A9" s="1">
        <v>8</v>
      </c>
      <c r="B9" s="2" t="s">
        <v>38</v>
      </c>
      <c r="C9" s="1" t="s">
        <v>173</v>
      </c>
      <c r="D9" s="1" t="s">
        <v>9</v>
      </c>
      <c r="E9" s="1" t="s">
        <v>10</v>
      </c>
      <c r="F9" s="1">
        <v>1</v>
      </c>
      <c r="G9" s="1"/>
      <c r="H9" s="1"/>
      <c r="I9" s="1"/>
      <c r="J9" s="1"/>
      <c r="K9" s="1"/>
    </row>
    <row r="10" spans="1:11" ht="63" customHeight="1" x14ac:dyDescent="0.25">
      <c r="A10" s="1">
        <v>9</v>
      </c>
      <c r="B10" s="2" t="s">
        <v>174</v>
      </c>
      <c r="C10" s="1" t="s">
        <v>175</v>
      </c>
      <c r="D10" s="1" t="s">
        <v>176</v>
      </c>
      <c r="E10" s="1" t="s">
        <v>10</v>
      </c>
      <c r="F10" s="1">
        <v>12</v>
      </c>
      <c r="G10" s="1"/>
      <c r="H10" s="1"/>
      <c r="I10" s="1"/>
      <c r="J10" s="1"/>
      <c r="K10" s="1"/>
    </row>
    <row r="11" spans="1:11" ht="31.5" customHeight="1" x14ac:dyDescent="0.25">
      <c r="A11" s="1">
        <v>10</v>
      </c>
      <c r="B11" s="2" t="s">
        <v>177</v>
      </c>
      <c r="C11" s="1" t="s">
        <v>178</v>
      </c>
      <c r="D11" s="1" t="s">
        <v>176</v>
      </c>
      <c r="E11" s="1" t="s">
        <v>10</v>
      </c>
      <c r="F11" s="1">
        <v>12</v>
      </c>
      <c r="G11" s="1"/>
      <c r="H11" s="1"/>
      <c r="I11" s="1"/>
      <c r="J11" s="1"/>
      <c r="K11" s="1"/>
    </row>
    <row r="12" spans="1:11" x14ac:dyDescent="0.25">
      <c r="A12" s="1">
        <v>11</v>
      </c>
      <c r="B12" s="2" t="s">
        <v>60</v>
      </c>
      <c r="C12" s="1"/>
      <c r="D12" s="1" t="s">
        <v>61</v>
      </c>
      <c r="E12" s="1" t="s">
        <v>10</v>
      </c>
      <c r="F12" s="1">
        <v>1</v>
      </c>
      <c r="G12" s="1"/>
      <c r="H12" s="1"/>
      <c r="I12" s="1"/>
      <c r="J12" s="1"/>
      <c r="K12" s="1"/>
    </row>
    <row r="13" spans="1:11" ht="110.25" x14ac:dyDescent="0.25">
      <c r="A13" s="1">
        <v>12</v>
      </c>
      <c r="B13" s="2" t="s">
        <v>62</v>
      </c>
      <c r="C13" s="1"/>
      <c r="D13" s="1" t="s">
        <v>61</v>
      </c>
      <c r="E13" s="1" t="s">
        <v>10</v>
      </c>
      <c r="F13" s="1">
        <v>10</v>
      </c>
      <c r="G13" s="35">
        <v>2310</v>
      </c>
      <c r="H13" s="35">
        <v>23100</v>
      </c>
      <c r="I13" s="35"/>
      <c r="J13" s="35"/>
      <c r="K13" s="1" t="s">
        <v>63</v>
      </c>
    </row>
    <row r="14" spans="1:11" ht="141.75" customHeight="1" x14ac:dyDescent="0.25">
      <c r="A14" s="1">
        <v>13</v>
      </c>
      <c r="B14" s="2" t="s">
        <v>65</v>
      </c>
      <c r="C14" s="1" t="s">
        <v>66</v>
      </c>
      <c r="D14" s="1" t="s">
        <v>67</v>
      </c>
      <c r="E14" s="1" t="s">
        <v>68</v>
      </c>
      <c r="F14" s="1">
        <v>7200</v>
      </c>
      <c r="G14" s="1"/>
      <c r="H14" s="1"/>
      <c r="I14" s="1"/>
      <c r="J14" s="1"/>
      <c r="K14" s="1"/>
    </row>
    <row r="15" spans="1:11" ht="31.5" customHeight="1" x14ac:dyDescent="0.25">
      <c r="A15" s="1">
        <v>14</v>
      </c>
      <c r="B15" s="2" t="s">
        <v>73</v>
      </c>
      <c r="C15" s="1" t="s">
        <v>74</v>
      </c>
      <c r="D15" s="1" t="s">
        <v>179</v>
      </c>
      <c r="E15" s="1" t="s">
        <v>68</v>
      </c>
      <c r="F15" s="1">
        <v>7200</v>
      </c>
      <c r="G15" s="1"/>
      <c r="H15" s="1"/>
      <c r="I15" s="1"/>
      <c r="J15" s="1"/>
      <c r="K15" s="1"/>
    </row>
    <row r="16" spans="1:11" ht="47.25" customHeight="1" x14ac:dyDescent="0.25">
      <c r="A16" s="1">
        <v>15</v>
      </c>
      <c r="B16" s="2" t="s">
        <v>76</v>
      </c>
      <c r="C16" s="1" t="s">
        <v>77</v>
      </c>
      <c r="D16" s="1" t="s">
        <v>180</v>
      </c>
      <c r="E16" s="1" t="s">
        <v>78</v>
      </c>
      <c r="F16" s="1">
        <v>217</v>
      </c>
      <c r="G16" s="1"/>
      <c r="H16" s="1"/>
      <c r="I16" s="1"/>
      <c r="J16" s="1"/>
      <c r="K16" s="1"/>
    </row>
    <row r="17" spans="1:11" s="5" customFormat="1" ht="15" customHeight="1" outlineLevel="1" x14ac:dyDescent="0.25">
      <c r="A17" s="42" t="s">
        <v>147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</row>
    <row r="18" spans="1:11" s="5" customFormat="1" ht="47.25" customHeight="1" x14ac:dyDescent="0.25">
      <c r="A18" s="1">
        <v>1</v>
      </c>
      <c r="B18" s="2" t="s">
        <v>148</v>
      </c>
      <c r="C18" s="40" t="s">
        <v>149</v>
      </c>
      <c r="D18" s="41"/>
      <c r="E18" s="1" t="s">
        <v>146</v>
      </c>
      <c r="F18" s="1">
        <v>1</v>
      </c>
      <c r="G18" s="1"/>
      <c r="H18" s="1"/>
      <c r="I18" s="20"/>
      <c r="J18" s="21">
        <v>400000</v>
      </c>
      <c r="K18" s="21">
        <f t="shared" ref="K18:K23" si="0">F18*J18</f>
        <v>400000</v>
      </c>
    </row>
    <row r="19" spans="1:11" s="5" customFormat="1" ht="31.5" customHeight="1" x14ac:dyDescent="0.25">
      <c r="A19" s="1">
        <v>2</v>
      </c>
      <c r="B19" s="2" t="s">
        <v>150</v>
      </c>
      <c r="C19" s="18"/>
      <c r="D19" s="18"/>
      <c r="E19" s="1" t="s">
        <v>146</v>
      </c>
      <c r="F19" s="1">
        <v>1</v>
      </c>
      <c r="G19" s="1"/>
      <c r="H19" s="1"/>
      <c r="I19" s="20"/>
      <c r="J19" s="21">
        <f>J16*0.03</f>
        <v>0</v>
      </c>
      <c r="K19" s="21">
        <f t="shared" si="0"/>
        <v>0</v>
      </c>
    </row>
    <row r="20" spans="1:11" s="5" customFormat="1" ht="31.5" customHeight="1" x14ac:dyDescent="0.25">
      <c r="A20" s="1">
        <v>3</v>
      </c>
      <c r="B20" s="2" t="s">
        <v>151</v>
      </c>
      <c r="C20" s="18"/>
      <c r="D20" s="18"/>
      <c r="E20" s="1" t="s">
        <v>146</v>
      </c>
      <c r="F20" s="1">
        <v>1</v>
      </c>
      <c r="G20" s="1"/>
      <c r="H20" s="1"/>
      <c r="I20" s="20"/>
      <c r="J20" s="21">
        <f>J16*0.02</f>
        <v>0</v>
      </c>
      <c r="K20" s="21">
        <f t="shared" si="0"/>
        <v>0</v>
      </c>
    </row>
    <row r="21" spans="1:11" s="5" customFormat="1" ht="31.5" customHeight="1" x14ac:dyDescent="0.25">
      <c r="A21" s="1">
        <v>4</v>
      </c>
      <c r="B21" s="2" t="s">
        <v>152</v>
      </c>
      <c r="C21" s="18"/>
      <c r="D21" s="18"/>
      <c r="E21" s="1" t="s">
        <v>146</v>
      </c>
      <c r="F21" s="1">
        <v>1</v>
      </c>
      <c r="G21" s="1"/>
      <c r="H21" s="1"/>
      <c r="I21" s="20"/>
      <c r="J21" s="21" t="e">
        <f>#REF!*0.06</f>
        <v>#REF!</v>
      </c>
      <c r="K21" s="21" t="e">
        <f t="shared" si="0"/>
        <v>#REF!</v>
      </c>
    </row>
    <row r="22" spans="1:11" s="5" customFormat="1" ht="31.5" customHeight="1" x14ac:dyDescent="0.25">
      <c r="A22" s="1">
        <v>5</v>
      </c>
      <c r="B22" s="2" t="s">
        <v>153</v>
      </c>
      <c r="C22" s="18"/>
      <c r="D22" s="18"/>
      <c r="E22" s="1" t="s">
        <v>146</v>
      </c>
      <c r="F22" s="1">
        <v>1</v>
      </c>
      <c r="G22" s="1"/>
      <c r="H22" s="1"/>
      <c r="I22" s="20"/>
      <c r="J22" s="21" t="e">
        <f>(J16+#REF!)*0.02</f>
        <v>#REF!</v>
      </c>
      <c r="K22" s="21" t="e">
        <f t="shared" si="0"/>
        <v>#REF!</v>
      </c>
    </row>
    <row r="23" spans="1:11" s="5" customFormat="1" ht="31.5" customHeight="1" x14ac:dyDescent="0.25">
      <c r="A23" s="1">
        <v>6</v>
      </c>
      <c r="B23" s="2" t="s">
        <v>154</v>
      </c>
      <c r="C23" s="18"/>
      <c r="D23" s="18"/>
      <c r="E23" s="1" t="s">
        <v>146</v>
      </c>
      <c r="F23" s="1">
        <v>1</v>
      </c>
      <c r="G23" s="1"/>
      <c r="H23" s="1"/>
      <c r="I23" s="20"/>
      <c r="J23" s="21">
        <v>150000</v>
      </c>
      <c r="K23" s="21">
        <f t="shared" si="0"/>
        <v>150000</v>
      </c>
    </row>
    <row r="24" spans="1:11" s="5" customFormat="1" x14ac:dyDescent="0.25">
      <c r="A24" s="1">
        <v>7</v>
      </c>
      <c r="B24" s="2" t="s">
        <v>155</v>
      </c>
      <c r="C24" s="18"/>
      <c r="D24" s="18"/>
      <c r="E24" s="1"/>
      <c r="F24" s="1"/>
      <c r="G24" s="1"/>
      <c r="H24" s="1"/>
      <c r="I24" s="20"/>
      <c r="J24" s="21"/>
      <c r="K24" s="22" t="e">
        <f>SUM(K18:K23)</f>
        <v>#REF!</v>
      </c>
    </row>
    <row r="25" spans="1:11" s="5" customFormat="1" ht="31.5" customHeight="1" x14ac:dyDescent="0.25">
      <c r="A25" s="1">
        <v>8</v>
      </c>
      <c r="B25" s="2" t="s">
        <v>156</v>
      </c>
      <c r="C25" s="18"/>
      <c r="D25" s="18"/>
      <c r="E25" s="2"/>
      <c r="F25" s="2"/>
      <c r="G25" s="2"/>
      <c r="H25" s="2"/>
      <c r="I25" s="20"/>
      <c r="J25" s="21"/>
      <c r="K25" s="21">
        <f>J16</f>
        <v>0</v>
      </c>
    </row>
    <row r="26" spans="1:11" s="5" customFormat="1" ht="31.5" customHeight="1" x14ac:dyDescent="0.25">
      <c r="A26" s="1">
        <v>9</v>
      </c>
      <c r="B26" s="2" t="s">
        <v>157</v>
      </c>
      <c r="C26" s="18"/>
      <c r="D26" s="18"/>
      <c r="E26" s="2"/>
      <c r="F26" s="2"/>
      <c r="G26" s="2"/>
      <c r="H26" s="2"/>
      <c r="I26" s="20"/>
      <c r="J26" s="21"/>
      <c r="K26" s="21" t="e">
        <f>#REF!</f>
        <v>#REF!</v>
      </c>
    </row>
    <row r="27" spans="1:11" s="5" customFormat="1" ht="31.5" customHeight="1" x14ac:dyDescent="0.25">
      <c r="A27" s="1">
        <v>10</v>
      </c>
      <c r="B27" s="2" t="s">
        <v>158</v>
      </c>
      <c r="C27" s="18"/>
      <c r="D27" s="18"/>
      <c r="E27" s="2"/>
      <c r="F27" s="2"/>
      <c r="G27" s="2"/>
      <c r="H27" s="2"/>
      <c r="I27" s="20"/>
      <c r="J27" s="21"/>
      <c r="K27" s="21" t="e">
        <f>K24</f>
        <v>#REF!</v>
      </c>
    </row>
    <row r="28" spans="1:11" s="5" customFormat="1" x14ac:dyDescent="0.25">
      <c r="A28" s="1">
        <v>11</v>
      </c>
      <c r="B28" s="2" t="s">
        <v>159</v>
      </c>
      <c r="C28" s="18"/>
      <c r="D28" s="18"/>
      <c r="E28" s="2"/>
      <c r="F28" s="2"/>
      <c r="G28" s="2"/>
      <c r="H28" s="2"/>
      <c r="I28" s="20"/>
      <c r="J28" s="21"/>
      <c r="K28" s="22" t="e">
        <f>SUM(K25:K27)</f>
        <v>#REF!</v>
      </c>
    </row>
    <row r="29" spans="1:11" s="5" customFormat="1" x14ac:dyDescent="0.25">
      <c r="A29" s="1">
        <v>12</v>
      </c>
      <c r="B29" s="2" t="s">
        <v>160</v>
      </c>
      <c r="C29" s="18"/>
      <c r="D29" s="18"/>
      <c r="E29" s="2"/>
      <c r="F29" s="2"/>
      <c r="G29" s="2"/>
      <c r="H29" s="2"/>
      <c r="I29" s="20"/>
      <c r="J29" s="21"/>
      <c r="K29" s="21" t="e">
        <f>K28*22/120</f>
        <v>#REF!</v>
      </c>
    </row>
    <row r="30" spans="1:11" s="5" customFormat="1" x14ac:dyDescent="0.25">
      <c r="A30" s="12"/>
      <c r="B30" s="23" t="s">
        <v>161</v>
      </c>
      <c r="C30" s="9"/>
      <c r="D30" s="10"/>
      <c r="E30" s="13"/>
      <c r="F30" s="13"/>
      <c r="G30" s="24"/>
      <c r="H30" s="24"/>
      <c r="I30" s="24"/>
      <c r="J30" s="24"/>
      <c r="K30" s="24"/>
    </row>
    <row r="31" spans="1:11" s="5" customFormat="1" ht="157.5" customHeight="1" x14ac:dyDescent="0.25">
      <c r="A31" s="12"/>
      <c r="B31" s="25" t="s">
        <v>162</v>
      </c>
      <c r="C31" s="9"/>
      <c r="D31" s="10"/>
      <c r="E31" s="13"/>
      <c r="F31" s="13"/>
      <c r="G31" s="24"/>
      <c r="H31" s="24"/>
      <c r="I31" s="24"/>
      <c r="J31" s="24"/>
      <c r="K31" s="24"/>
    </row>
  </sheetData>
  <mergeCells count="2">
    <mergeCell ref="A17:K17"/>
    <mergeCell ref="C18:D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70"/>
  <sheetViews>
    <sheetView zoomScale="55" zoomScaleNormal="55" workbookViewId="0">
      <selection sqref="A1:XFD1"/>
    </sheetView>
  </sheetViews>
  <sheetFormatPr defaultRowHeight="15" outlineLevelRow="1" x14ac:dyDescent="0.25"/>
  <cols>
    <col min="1" max="1" width="9.140625" style="28" customWidth="1"/>
    <col min="2" max="2" width="63.85546875" style="27" customWidth="1"/>
    <col min="3" max="3" width="20.28515625" style="4" bestFit="1" customWidth="1"/>
    <col min="4" max="4" width="28.7109375" style="4" bestFit="1" customWidth="1"/>
    <col min="5" max="5" width="4.5703125" style="4" bestFit="1" customWidth="1"/>
    <col min="6" max="6" width="7.85546875" style="4" bestFit="1" customWidth="1"/>
    <col min="7" max="7" width="52" style="4" bestFit="1" customWidth="1"/>
    <col min="8" max="8" width="44.85546875" style="4" bestFit="1" customWidth="1"/>
    <col min="9" max="9" width="50" style="4" bestFit="1" customWidth="1"/>
    <col min="10" max="10" width="43" style="4" bestFit="1" customWidth="1"/>
    <col min="11" max="11" width="51.5703125" style="26" customWidth="1"/>
    <col min="12" max="12" width="9.140625" style="4" customWidth="1"/>
    <col min="13" max="16384" width="9.140625" style="4"/>
  </cols>
  <sheetData>
    <row r="1" spans="1:11" s="11" customFormat="1" ht="72" customHeight="1" x14ac:dyDescent="0.2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7" t="s">
        <v>398</v>
      </c>
      <c r="H1" s="17" t="s">
        <v>399</v>
      </c>
      <c r="I1" s="17" t="s">
        <v>400</v>
      </c>
      <c r="J1" s="17" t="s">
        <v>401</v>
      </c>
      <c r="K1" s="17" t="s">
        <v>6</v>
      </c>
    </row>
    <row r="2" spans="1:11" ht="45" customHeight="1" x14ac:dyDescent="0.25">
      <c r="A2" s="29">
        <v>1</v>
      </c>
      <c r="B2" s="7" t="s">
        <v>181</v>
      </c>
      <c r="C2" s="8" t="s">
        <v>182</v>
      </c>
      <c r="D2" s="8" t="s">
        <v>115</v>
      </c>
      <c r="E2" s="8" t="s">
        <v>10</v>
      </c>
      <c r="F2" s="8">
        <v>1218</v>
      </c>
      <c r="G2" s="8"/>
      <c r="H2" s="8"/>
      <c r="I2" s="8"/>
      <c r="J2" s="8"/>
      <c r="K2" s="30">
        <v>0.12</v>
      </c>
    </row>
    <row r="3" spans="1:11" x14ac:dyDescent="0.25">
      <c r="A3" s="29">
        <v>2</v>
      </c>
      <c r="B3" s="7" t="s">
        <v>183</v>
      </c>
      <c r="C3" s="8" t="s">
        <v>184</v>
      </c>
      <c r="D3" s="8"/>
      <c r="E3" s="8" t="s">
        <v>185</v>
      </c>
      <c r="F3" s="8">
        <v>1230</v>
      </c>
      <c r="G3" s="8"/>
      <c r="H3" s="8"/>
      <c r="I3" s="8"/>
      <c r="J3" s="8"/>
      <c r="K3" s="6"/>
    </row>
    <row r="4" spans="1:11" x14ac:dyDescent="0.25">
      <c r="A4" s="29">
        <v>3</v>
      </c>
      <c r="B4" s="7" t="s">
        <v>186</v>
      </c>
      <c r="C4" s="8" t="s">
        <v>184</v>
      </c>
      <c r="D4" s="8"/>
      <c r="E4" s="8" t="s">
        <v>185</v>
      </c>
      <c r="F4" s="8">
        <v>165</v>
      </c>
      <c r="G4" s="8"/>
      <c r="H4" s="8"/>
      <c r="I4" s="8"/>
      <c r="J4" s="8"/>
      <c r="K4" s="6"/>
    </row>
    <row r="5" spans="1:11" x14ac:dyDescent="0.25">
      <c r="A5" s="29">
        <v>4</v>
      </c>
      <c r="B5" s="7" t="s">
        <v>187</v>
      </c>
      <c r="C5" s="8" t="s">
        <v>188</v>
      </c>
      <c r="D5" s="8"/>
      <c r="E5" s="8" t="s">
        <v>185</v>
      </c>
      <c r="F5" s="8">
        <v>3325</v>
      </c>
      <c r="G5" s="8"/>
      <c r="H5" s="8"/>
      <c r="I5" s="8"/>
      <c r="J5" s="8"/>
      <c r="K5" s="6"/>
    </row>
    <row r="6" spans="1:11" x14ac:dyDescent="0.25">
      <c r="A6" s="29">
        <v>5</v>
      </c>
      <c r="B6" s="7" t="s">
        <v>189</v>
      </c>
      <c r="C6" s="8" t="s">
        <v>190</v>
      </c>
      <c r="D6" s="8" t="s">
        <v>191</v>
      </c>
      <c r="E6" s="8" t="s">
        <v>10</v>
      </c>
      <c r="F6" s="8">
        <v>1206</v>
      </c>
      <c r="G6" s="8"/>
      <c r="H6" s="8"/>
      <c r="I6" s="8"/>
      <c r="J6" s="8"/>
      <c r="K6" s="6" t="s">
        <v>192</v>
      </c>
    </row>
    <row r="7" spans="1:11" ht="30" customHeight="1" x14ac:dyDescent="0.25">
      <c r="A7" s="29">
        <v>6</v>
      </c>
      <c r="B7" s="7" t="s">
        <v>193</v>
      </c>
      <c r="C7" s="8" t="s">
        <v>190</v>
      </c>
      <c r="D7" s="8" t="s">
        <v>191</v>
      </c>
      <c r="E7" s="8" t="s">
        <v>10</v>
      </c>
      <c r="F7" s="8">
        <v>12</v>
      </c>
      <c r="G7" s="8"/>
      <c r="H7" s="8"/>
      <c r="I7" s="8"/>
      <c r="J7" s="8"/>
      <c r="K7" s="6" t="s">
        <v>192</v>
      </c>
    </row>
    <row r="8" spans="1:11" x14ac:dyDescent="0.25">
      <c r="A8" s="29">
        <v>7</v>
      </c>
      <c r="B8" s="7" t="s">
        <v>194</v>
      </c>
      <c r="C8" s="8" t="s">
        <v>195</v>
      </c>
      <c r="D8" s="8" t="s">
        <v>191</v>
      </c>
      <c r="E8" s="8" t="s">
        <v>10</v>
      </c>
      <c r="F8" s="8">
        <v>165</v>
      </c>
      <c r="G8" s="8"/>
      <c r="H8" s="8"/>
      <c r="I8" s="8"/>
      <c r="J8" s="8"/>
      <c r="K8" s="6" t="s">
        <v>192</v>
      </c>
    </row>
    <row r="9" spans="1:11" x14ac:dyDescent="0.25">
      <c r="A9" s="29">
        <v>8</v>
      </c>
      <c r="B9" s="7" t="s">
        <v>196</v>
      </c>
      <c r="C9" s="8" t="s">
        <v>197</v>
      </c>
      <c r="D9" s="8" t="s">
        <v>191</v>
      </c>
      <c r="E9" s="8" t="s">
        <v>10</v>
      </c>
      <c r="F9" s="8">
        <v>165</v>
      </c>
      <c r="G9" s="8"/>
      <c r="H9" s="8"/>
      <c r="I9" s="8"/>
      <c r="J9" s="8"/>
      <c r="K9" s="6" t="s">
        <v>192</v>
      </c>
    </row>
    <row r="10" spans="1:11" x14ac:dyDescent="0.25">
      <c r="A10" s="29">
        <v>9</v>
      </c>
      <c r="B10" s="7" t="s">
        <v>196</v>
      </c>
      <c r="C10" s="8" t="s">
        <v>198</v>
      </c>
      <c r="D10" s="8" t="s">
        <v>191</v>
      </c>
      <c r="E10" s="8" t="s">
        <v>10</v>
      </c>
      <c r="F10" s="8">
        <v>61</v>
      </c>
      <c r="G10" s="8"/>
      <c r="H10" s="8"/>
      <c r="I10" s="8"/>
      <c r="J10" s="8"/>
      <c r="K10" s="6" t="s">
        <v>192</v>
      </c>
    </row>
    <row r="11" spans="1:11" x14ac:dyDescent="0.25">
      <c r="A11" s="29">
        <v>10</v>
      </c>
      <c r="B11" s="7" t="s">
        <v>199</v>
      </c>
      <c r="C11" s="8" t="s">
        <v>200</v>
      </c>
      <c r="D11" s="8" t="s">
        <v>191</v>
      </c>
      <c r="E11" s="8" t="s">
        <v>10</v>
      </c>
      <c r="F11" s="8">
        <v>51</v>
      </c>
      <c r="G11" s="8"/>
      <c r="H11" s="8"/>
      <c r="I11" s="8"/>
      <c r="J11" s="8"/>
      <c r="K11" s="6" t="s">
        <v>192</v>
      </c>
    </row>
    <row r="12" spans="1:11" x14ac:dyDescent="0.25">
      <c r="A12" s="29">
        <v>11</v>
      </c>
      <c r="B12" s="7" t="s">
        <v>201</v>
      </c>
      <c r="C12" s="8" t="s">
        <v>202</v>
      </c>
      <c r="D12" s="8" t="s">
        <v>191</v>
      </c>
      <c r="E12" s="8" t="s">
        <v>10</v>
      </c>
      <c r="F12" s="8">
        <v>10</v>
      </c>
      <c r="G12" s="8"/>
      <c r="H12" s="8"/>
      <c r="I12" s="8"/>
      <c r="J12" s="8"/>
      <c r="K12" s="6" t="s">
        <v>192</v>
      </c>
    </row>
    <row r="13" spans="1:11" x14ac:dyDescent="0.25">
      <c r="A13" s="29">
        <v>12</v>
      </c>
      <c r="B13" s="7" t="s">
        <v>201</v>
      </c>
      <c r="C13" s="8" t="s">
        <v>203</v>
      </c>
      <c r="D13" s="8" t="s">
        <v>191</v>
      </c>
      <c r="E13" s="8" t="s">
        <v>10</v>
      </c>
      <c r="F13" s="8">
        <v>63</v>
      </c>
      <c r="G13" s="8"/>
      <c r="H13" s="8"/>
      <c r="I13" s="8"/>
      <c r="J13" s="8"/>
      <c r="K13" s="6" t="s">
        <v>192</v>
      </c>
    </row>
    <row r="14" spans="1:11" x14ac:dyDescent="0.25">
      <c r="A14" s="29">
        <v>13</v>
      </c>
      <c r="B14" s="7" t="s">
        <v>204</v>
      </c>
      <c r="C14" s="8" t="s">
        <v>202</v>
      </c>
      <c r="D14" s="8" t="s">
        <v>191</v>
      </c>
      <c r="E14" s="8" t="s">
        <v>10</v>
      </c>
      <c r="F14" s="8">
        <v>677</v>
      </c>
      <c r="G14" s="8"/>
      <c r="H14" s="8"/>
      <c r="I14" s="8"/>
      <c r="J14" s="8"/>
      <c r="K14" s="6" t="s">
        <v>192</v>
      </c>
    </row>
    <row r="15" spans="1:11" x14ac:dyDescent="0.25">
      <c r="A15" s="29">
        <v>14</v>
      </c>
      <c r="B15" s="7" t="s">
        <v>204</v>
      </c>
      <c r="C15" s="8" t="s">
        <v>205</v>
      </c>
      <c r="D15" s="8" t="s">
        <v>191</v>
      </c>
      <c r="E15" s="8" t="s">
        <v>10</v>
      </c>
      <c r="F15" s="8">
        <v>330</v>
      </c>
      <c r="G15" s="8"/>
      <c r="H15" s="8"/>
      <c r="I15" s="8"/>
      <c r="J15" s="8"/>
      <c r="K15" s="6" t="s">
        <v>192</v>
      </c>
    </row>
    <row r="16" spans="1:11" x14ac:dyDescent="0.25">
      <c r="A16" s="29">
        <v>15</v>
      </c>
      <c r="B16" s="7" t="s">
        <v>204</v>
      </c>
      <c r="C16" s="8" t="s">
        <v>203</v>
      </c>
      <c r="D16" s="8" t="s">
        <v>191</v>
      </c>
      <c r="E16" s="8" t="s">
        <v>10</v>
      </c>
      <c r="F16" s="8">
        <v>974</v>
      </c>
      <c r="G16" s="8"/>
      <c r="H16" s="8"/>
      <c r="I16" s="8"/>
      <c r="J16" s="8"/>
      <c r="K16" s="6" t="s">
        <v>192</v>
      </c>
    </row>
    <row r="17" spans="1:11" x14ac:dyDescent="0.25">
      <c r="A17" s="29">
        <v>16</v>
      </c>
      <c r="B17" s="31" t="s">
        <v>206</v>
      </c>
      <c r="C17" s="8"/>
      <c r="D17" s="8"/>
      <c r="E17" s="8"/>
      <c r="F17" s="8"/>
      <c r="G17" s="8"/>
      <c r="H17" s="8"/>
      <c r="I17" s="8"/>
      <c r="J17" s="8"/>
      <c r="K17" s="6" t="s">
        <v>207</v>
      </c>
    </row>
    <row r="18" spans="1:11" x14ac:dyDescent="0.25">
      <c r="A18" s="29">
        <v>46038</v>
      </c>
      <c r="B18" s="7" t="s">
        <v>208</v>
      </c>
      <c r="C18" s="8"/>
      <c r="D18" s="8"/>
      <c r="E18" s="8" t="s">
        <v>10</v>
      </c>
      <c r="F18" s="8">
        <v>1</v>
      </c>
      <c r="G18" s="8"/>
      <c r="H18" s="8"/>
      <c r="I18" s="8"/>
      <c r="J18" s="8"/>
      <c r="K18" s="6" t="s">
        <v>192</v>
      </c>
    </row>
    <row r="19" spans="1:11" x14ac:dyDescent="0.25">
      <c r="A19" s="29">
        <v>46069</v>
      </c>
      <c r="B19" s="7" t="s">
        <v>209</v>
      </c>
      <c r="C19" s="8" t="s">
        <v>210</v>
      </c>
      <c r="D19" s="8"/>
      <c r="E19" s="8" t="s">
        <v>10</v>
      </c>
      <c r="F19" s="8">
        <v>1</v>
      </c>
      <c r="G19" s="8"/>
      <c r="H19" s="8"/>
      <c r="I19" s="8"/>
      <c r="J19" s="8"/>
      <c r="K19" s="6" t="s">
        <v>192</v>
      </c>
    </row>
    <row r="20" spans="1:11" x14ac:dyDescent="0.25">
      <c r="A20" s="29">
        <v>46097</v>
      </c>
      <c r="B20" s="7" t="s">
        <v>211</v>
      </c>
      <c r="C20" s="8"/>
      <c r="D20" s="8"/>
      <c r="E20" s="8" t="s">
        <v>10</v>
      </c>
      <c r="F20" s="8">
        <v>1</v>
      </c>
      <c r="G20" s="8"/>
      <c r="H20" s="8"/>
      <c r="I20" s="8"/>
      <c r="J20" s="8"/>
      <c r="K20" s="6" t="s">
        <v>192</v>
      </c>
    </row>
    <row r="21" spans="1:11" x14ac:dyDescent="0.25">
      <c r="A21" s="29">
        <v>46128</v>
      </c>
      <c r="B21" s="7" t="s">
        <v>212</v>
      </c>
      <c r="C21" s="8" t="s">
        <v>213</v>
      </c>
      <c r="D21" s="8" t="s">
        <v>214</v>
      </c>
      <c r="E21" s="8" t="s">
        <v>10</v>
      </c>
      <c r="F21" s="8">
        <v>1</v>
      </c>
      <c r="G21" s="8"/>
      <c r="H21" s="8"/>
      <c r="I21" s="8"/>
      <c r="J21" s="8"/>
      <c r="K21" s="6" t="s">
        <v>192</v>
      </c>
    </row>
    <row r="22" spans="1:11" x14ac:dyDescent="0.25">
      <c r="A22" s="29">
        <v>46158</v>
      </c>
      <c r="B22" s="7" t="s">
        <v>215</v>
      </c>
      <c r="C22" s="8"/>
      <c r="D22" s="8"/>
      <c r="E22" s="8" t="s">
        <v>10</v>
      </c>
      <c r="F22" s="8">
        <v>1</v>
      </c>
      <c r="G22" s="8"/>
      <c r="H22" s="8"/>
      <c r="I22" s="8"/>
      <c r="J22" s="8"/>
      <c r="K22" s="6"/>
    </row>
    <row r="23" spans="1:11" x14ac:dyDescent="0.25">
      <c r="A23" s="29">
        <v>46189</v>
      </c>
      <c r="B23" s="7" t="s">
        <v>216</v>
      </c>
      <c r="C23" s="8"/>
      <c r="D23" s="8"/>
      <c r="E23" s="8" t="s">
        <v>10</v>
      </c>
      <c r="F23" s="8">
        <v>1</v>
      </c>
      <c r="G23" s="8"/>
      <c r="H23" s="8"/>
      <c r="I23" s="8"/>
      <c r="J23" s="8"/>
      <c r="K23" s="6"/>
    </row>
    <row r="24" spans="1:11" x14ac:dyDescent="0.25">
      <c r="A24" s="29">
        <v>17</v>
      </c>
      <c r="B24" s="7" t="s">
        <v>217</v>
      </c>
      <c r="C24" s="8" t="s">
        <v>218</v>
      </c>
      <c r="D24" s="8" t="s">
        <v>219</v>
      </c>
      <c r="E24" s="8" t="s">
        <v>10</v>
      </c>
      <c r="F24" s="8">
        <v>203</v>
      </c>
      <c r="G24" s="8"/>
      <c r="H24" s="8"/>
      <c r="I24" s="8"/>
      <c r="J24" s="8"/>
      <c r="K24" s="6" t="s">
        <v>192</v>
      </c>
    </row>
    <row r="25" spans="1:11" x14ac:dyDescent="0.25">
      <c r="A25" s="29">
        <v>18</v>
      </c>
      <c r="B25" s="7" t="s">
        <v>220</v>
      </c>
      <c r="C25" s="8"/>
      <c r="D25" s="8" t="s">
        <v>219</v>
      </c>
      <c r="E25" s="8" t="s">
        <v>10</v>
      </c>
      <c r="F25" s="8">
        <v>203</v>
      </c>
      <c r="G25" s="8"/>
      <c r="H25" s="8"/>
      <c r="I25" s="8"/>
      <c r="J25" s="8"/>
      <c r="K25" s="6" t="s">
        <v>192</v>
      </c>
    </row>
    <row r="26" spans="1:11" x14ac:dyDescent="0.25">
      <c r="A26" s="29">
        <v>19</v>
      </c>
      <c r="B26" s="7" t="s">
        <v>221</v>
      </c>
      <c r="C26" s="8"/>
      <c r="D26" s="8" t="s">
        <v>214</v>
      </c>
      <c r="E26" s="8" t="s">
        <v>10</v>
      </c>
      <c r="F26" s="8">
        <v>203</v>
      </c>
      <c r="G26" s="8"/>
      <c r="H26" s="8"/>
      <c r="I26" s="8"/>
      <c r="J26" s="8"/>
      <c r="K26" s="6" t="s">
        <v>192</v>
      </c>
    </row>
    <row r="27" spans="1:11" ht="28.5" customHeight="1" x14ac:dyDescent="0.25">
      <c r="A27" s="29">
        <v>20</v>
      </c>
      <c r="B27" s="31" t="s">
        <v>222</v>
      </c>
      <c r="C27" s="8"/>
      <c r="D27" s="8"/>
      <c r="E27" s="8"/>
      <c r="F27" s="8"/>
      <c r="G27" s="8"/>
      <c r="H27" s="8"/>
      <c r="I27" s="8"/>
      <c r="J27" s="8"/>
      <c r="K27" s="6"/>
    </row>
    <row r="28" spans="1:11" x14ac:dyDescent="0.25">
      <c r="A28" s="29">
        <v>46042</v>
      </c>
      <c r="B28" s="7" t="s">
        <v>223</v>
      </c>
      <c r="C28" s="8"/>
      <c r="D28" s="8"/>
      <c r="E28" s="8" t="s">
        <v>10</v>
      </c>
      <c r="F28" s="8">
        <v>76</v>
      </c>
      <c r="G28" s="8"/>
      <c r="H28" s="8"/>
      <c r="I28" s="8"/>
      <c r="J28" s="8"/>
      <c r="K28" s="6"/>
    </row>
    <row r="29" spans="1:11" x14ac:dyDescent="0.25">
      <c r="A29" s="29">
        <v>46073</v>
      </c>
      <c r="B29" s="7" t="s">
        <v>224</v>
      </c>
      <c r="C29" s="8" t="s">
        <v>225</v>
      </c>
      <c r="D29" s="8"/>
      <c r="E29" s="8" t="s">
        <v>185</v>
      </c>
      <c r="F29" s="8">
        <v>114</v>
      </c>
      <c r="G29" s="8"/>
      <c r="H29" s="8"/>
      <c r="I29" s="8"/>
      <c r="J29" s="8"/>
      <c r="K29" s="6"/>
    </row>
    <row r="30" spans="1:11" x14ac:dyDescent="0.25">
      <c r="A30" s="29">
        <v>21</v>
      </c>
      <c r="B30" s="31" t="s">
        <v>226</v>
      </c>
      <c r="C30" s="8"/>
      <c r="D30" s="8"/>
      <c r="E30" s="8"/>
      <c r="F30" s="8"/>
      <c r="G30" s="8"/>
      <c r="H30" s="8"/>
      <c r="I30" s="8"/>
      <c r="J30" s="8"/>
      <c r="K30" s="6"/>
    </row>
    <row r="31" spans="1:11" x14ac:dyDescent="0.25">
      <c r="A31" s="29">
        <v>46043</v>
      </c>
      <c r="B31" s="7" t="s">
        <v>227</v>
      </c>
      <c r="C31" s="8"/>
      <c r="D31" s="8"/>
      <c r="E31" s="8" t="s">
        <v>185</v>
      </c>
      <c r="F31" s="8">
        <v>80</v>
      </c>
      <c r="G31" s="8"/>
      <c r="H31" s="8"/>
      <c r="I31" s="8"/>
      <c r="J31" s="8"/>
      <c r="K31" s="6"/>
    </row>
    <row r="32" spans="1:11" x14ac:dyDescent="0.25">
      <c r="A32" s="29">
        <v>46074</v>
      </c>
      <c r="B32" s="7" t="s">
        <v>228</v>
      </c>
      <c r="C32" s="8"/>
      <c r="D32" s="8"/>
      <c r="E32" s="8" t="s">
        <v>185</v>
      </c>
      <c r="F32" s="8">
        <v>120</v>
      </c>
      <c r="G32" s="8"/>
      <c r="H32" s="8"/>
      <c r="I32" s="8"/>
      <c r="J32" s="8"/>
      <c r="K32" s="6"/>
    </row>
    <row r="33" spans="1:11" x14ac:dyDescent="0.25">
      <c r="A33" s="29">
        <v>46102</v>
      </c>
      <c r="B33" s="7" t="s">
        <v>229</v>
      </c>
      <c r="C33" s="8"/>
      <c r="D33" s="8"/>
      <c r="E33" s="8" t="s">
        <v>10</v>
      </c>
      <c r="F33" s="8">
        <v>960</v>
      </c>
      <c r="G33" s="8"/>
      <c r="H33" s="8"/>
      <c r="I33" s="8"/>
      <c r="J33" s="8"/>
      <c r="K33" s="6"/>
    </row>
    <row r="34" spans="1:11" x14ac:dyDescent="0.25">
      <c r="A34" s="29">
        <v>46133</v>
      </c>
      <c r="B34" s="7" t="s">
        <v>230</v>
      </c>
      <c r="C34" s="8"/>
      <c r="D34" s="8"/>
      <c r="E34" s="8" t="s">
        <v>10</v>
      </c>
      <c r="F34" s="8">
        <v>80</v>
      </c>
      <c r="G34" s="8"/>
      <c r="H34" s="8"/>
      <c r="I34" s="8"/>
      <c r="J34" s="8"/>
      <c r="K34" s="6"/>
    </row>
    <row r="35" spans="1:11" x14ac:dyDescent="0.25">
      <c r="A35" s="29">
        <v>22</v>
      </c>
      <c r="B35" s="31" t="s">
        <v>231</v>
      </c>
      <c r="C35" s="8"/>
      <c r="D35" s="8"/>
      <c r="E35" s="8"/>
      <c r="F35" s="8"/>
      <c r="G35" s="8"/>
      <c r="H35" s="8"/>
      <c r="I35" s="8"/>
      <c r="J35" s="8"/>
      <c r="K35" s="6"/>
    </row>
    <row r="36" spans="1:11" x14ac:dyDescent="0.25">
      <c r="A36" s="29">
        <v>46044</v>
      </c>
      <c r="B36" s="7" t="s">
        <v>232</v>
      </c>
      <c r="C36" s="8"/>
      <c r="D36" s="8"/>
      <c r="E36" s="8" t="s">
        <v>10</v>
      </c>
      <c r="F36" s="8">
        <v>700</v>
      </c>
      <c r="G36" s="8"/>
      <c r="H36" s="8"/>
      <c r="I36" s="8"/>
      <c r="J36" s="8"/>
      <c r="K36" s="6"/>
    </row>
    <row r="37" spans="1:11" x14ac:dyDescent="0.25">
      <c r="A37" s="29">
        <v>46075</v>
      </c>
      <c r="B37" s="7" t="s">
        <v>233</v>
      </c>
      <c r="C37" s="8"/>
      <c r="D37" s="8"/>
      <c r="E37" s="8" t="s">
        <v>10</v>
      </c>
      <c r="F37" s="8">
        <v>2800</v>
      </c>
      <c r="G37" s="8"/>
      <c r="H37" s="8"/>
      <c r="I37" s="8"/>
      <c r="J37" s="8"/>
      <c r="K37" s="6"/>
    </row>
    <row r="38" spans="1:11" x14ac:dyDescent="0.25">
      <c r="A38" s="29">
        <v>46103</v>
      </c>
      <c r="B38" s="7" t="s">
        <v>234</v>
      </c>
      <c r="C38" s="8"/>
      <c r="D38" s="8"/>
      <c r="E38" s="8" t="s">
        <v>10</v>
      </c>
      <c r="F38" s="8">
        <v>700</v>
      </c>
      <c r="G38" s="8"/>
      <c r="H38" s="8"/>
      <c r="I38" s="8"/>
      <c r="J38" s="8"/>
      <c r="K38" s="6"/>
    </row>
    <row r="39" spans="1:11" x14ac:dyDescent="0.25">
      <c r="A39" s="29">
        <v>46134</v>
      </c>
      <c r="B39" s="7" t="s">
        <v>235</v>
      </c>
      <c r="C39" s="8"/>
      <c r="D39" s="8"/>
      <c r="E39" s="8" t="s">
        <v>10</v>
      </c>
      <c r="F39" s="8">
        <v>700</v>
      </c>
      <c r="G39" s="8"/>
      <c r="H39" s="8"/>
      <c r="I39" s="8"/>
      <c r="J39" s="8"/>
      <c r="K39" s="6"/>
    </row>
    <row r="40" spans="1:11" x14ac:dyDescent="0.25">
      <c r="A40" s="29">
        <v>46164</v>
      </c>
      <c r="B40" s="7" t="s">
        <v>236</v>
      </c>
      <c r="C40" s="8"/>
      <c r="D40" s="8"/>
      <c r="E40" s="8" t="s">
        <v>10</v>
      </c>
      <c r="F40" s="8">
        <v>700</v>
      </c>
      <c r="G40" s="8"/>
      <c r="H40" s="8"/>
      <c r="I40" s="8"/>
      <c r="J40" s="8"/>
      <c r="K40" s="6"/>
    </row>
    <row r="41" spans="1:11" x14ac:dyDescent="0.25">
      <c r="A41" s="29">
        <v>23</v>
      </c>
      <c r="B41" s="7" t="s">
        <v>237</v>
      </c>
      <c r="C41" s="8"/>
      <c r="D41" s="8"/>
      <c r="E41" s="8" t="s">
        <v>238</v>
      </c>
      <c r="F41" s="8">
        <v>420.75</v>
      </c>
      <c r="G41" s="8"/>
      <c r="H41" s="8"/>
      <c r="I41" s="8"/>
      <c r="J41" s="8"/>
      <c r="K41" s="6"/>
    </row>
    <row r="42" spans="1:11" x14ac:dyDescent="0.25">
      <c r="A42" s="29">
        <v>24</v>
      </c>
      <c r="B42" s="7" t="s">
        <v>239</v>
      </c>
      <c r="C42" s="8"/>
      <c r="D42" s="8"/>
      <c r="E42" s="8" t="s">
        <v>238</v>
      </c>
      <c r="F42" s="8">
        <v>787.11</v>
      </c>
      <c r="G42" s="8"/>
      <c r="H42" s="8"/>
      <c r="I42" s="8"/>
      <c r="J42" s="8"/>
      <c r="K42" s="6"/>
    </row>
    <row r="43" spans="1:11" x14ac:dyDescent="0.25">
      <c r="A43" s="29">
        <v>25</v>
      </c>
      <c r="B43" s="7" t="s">
        <v>240</v>
      </c>
      <c r="C43" s="8"/>
      <c r="D43" s="8"/>
      <c r="E43" s="8" t="s">
        <v>146</v>
      </c>
      <c r="F43" s="8">
        <v>1</v>
      </c>
      <c r="G43" s="8"/>
      <c r="H43" s="8"/>
      <c r="I43" s="8"/>
      <c r="J43" s="8"/>
      <c r="K43" s="6"/>
    </row>
    <row r="44" spans="1:11" x14ac:dyDescent="0.25">
      <c r="A44" s="29">
        <v>26</v>
      </c>
      <c r="B44" s="7" t="s">
        <v>241</v>
      </c>
      <c r="C44" s="8" t="s">
        <v>184</v>
      </c>
      <c r="D44" s="8"/>
      <c r="E44" s="8" t="s">
        <v>185</v>
      </c>
      <c r="F44" s="8">
        <v>1</v>
      </c>
      <c r="G44" s="8"/>
      <c r="H44" s="8"/>
      <c r="I44" s="8"/>
      <c r="J44" s="8"/>
      <c r="K44" s="6" t="s">
        <v>242</v>
      </c>
    </row>
    <row r="45" spans="1:11" x14ac:dyDescent="0.25">
      <c r="A45" s="29">
        <v>27</v>
      </c>
      <c r="B45" s="7" t="s">
        <v>243</v>
      </c>
      <c r="C45" s="8"/>
      <c r="D45" s="8" t="s">
        <v>244</v>
      </c>
      <c r="E45" s="8" t="s">
        <v>245</v>
      </c>
      <c r="F45" s="8">
        <v>0.2</v>
      </c>
      <c r="G45" s="8"/>
      <c r="H45" s="8"/>
      <c r="I45" s="8"/>
      <c r="J45" s="8"/>
      <c r="K45" s="6" t="s">
        <v>192</v>
      </c>
    </row>
    <row r="46" spans="1:11" ht="30" customHeight="1" x14ac:dyDescent="0.25">
      <c r="A46" s="29">
        <v>28</v>
      </c>
      <c r="B46" s="7" t="s">
        <v>246</v>
      </c>
      <c r="C46" s="8"/>
      <c r="D46" s="8" t="s">
        <v>244</v>
      </c>
      <c r="E46" s="8" t="s">
        <v>10</v>
      </c>
      <c r="F46" s="8">
        <v>1</v>
      </c>
      <c r="G46" s="8"/>
      <c r="H46" s="8"/>
      <c r="I46" s="8"/>
      <c r="J46" s="8"/>
      <c r="K46" s="6" t="s">
        <v>192</v>
      </c>
    </row>
    <row r="47" spans="1:11" ht="22.5" customHeight="1" x14ac:dyDescent="0.25">
      <c r="A47" s="44" t="s">
        <v>247</v>
      </c>
      <c r="B47" s="45"/>
      <c r="C47" s="45"/>
      <c r="D47" s="45"/>
      <c r="E47" s="45"/>
      <c r="F47" s="41"/>
      <c r="G47" s="32"/>
      <c r="H47" s="32"/>
      <c r="I47" s="32"/>
      <c r="J47" s="32"/>
      <c r="K47" s="33"/>
    </row>
    <row r="48" spans="1:11" ht="60" customHeight="1" x14ac:dyDescent="0.25">
      <c r="A48" s="29">
        <v>1</v>
      </c>
      <c r="B48" s="7" t="s">
        <v>248</v>
      </c>
      <c r="C48" s="8" t="s">
        <v>249</v>
      </c>
      <c r="D48" s="8" t="s">
        <v>250</v>
      </c>
      <c r="E48" s="8" t="s">
        <v>146</v>
      </c>
      <c r="F48" s="8">
        <v>1</v>
      </c>
      <c r="G48" s="8"/>
      <c r="H48" s="8"/>
      <c r="I48" s="8"/>
      <c r="J48" s="8"/>
      <c r="K48" s="6" t="s">
        <v>251</v>
      </c>
    </row>
    <row r="49" spans="1:11" ht="30" customHeight="1" x14ac:dyDescent="0.25">
      <c r="A49" s="29">
        <v>2</v>
      </c>
      <c r="B49" s="7" t="s">
        <v>252</v>
      </c>
      <c r="C49" s="8"/>
      <c r="D49" s="8"/>
      <c r="E49" s="8" t="s">
        <v>146</v>
      </c>
      <c r="F49" s="8">
        <v>2</v>
      </c>
      <c r="G49" s="8"/>
      <c r="H49" s="8"/>
      <c r="I49" s="8"/>
      <c r="J49" s="8"/>
      <c r="K49" s="6" t="s">
        <v>192</v>
      </c>
    </row>
    <row r="50" spans="1:11" x14ac:dyDescent="0.25">
      <c r="A50" s="29">
        <v>3</v>
      </c>
      <c r="B50" s="7" t="s">
        <v>253</v>
      </c>
      <c r="C50" s="8" t="s">
        <v>254</v>
      </c>
      <c r="D50" s="8"/>
      <c r="E50" s="8" t="s">
        <v>10</v>
      </c>
      <c r="F50" s="8">
        <v>2</v>
      </c>
      <c r="G50" s="8"/>
      <c r="H50" s="8"/>
      <c r="I50" s="8"/>
      <c r="J50" s="8"/>
      <c r="K50" s="6"/>
    </row>
    <row r="51" spans="1:11" x14ac:dyDescent="0.25">
      <c r="A51" s="29">
        <v>4</v>
      </c>
      <c r="B51" s="7" t="s">
        <v>255</v>
      </c>
      <c r="C51" s="8" t="s">
        <v>184</v>
      </c>
      <c r="D51" s="8"/>
      <c r="E51" s="8" t="s">
        <v>185</v>
      </c>
      <c r="F51" s="8">
        <v>10</v>
      </c>
      <c r="G51" s="8"/>
      <c r="H51" s="8"/>
      <c r="I51" s="8"/>
      <c r="J51" s="8"/>
      <c r="K51" s="6"/>
    </row>
    <row r="52" spans="1:11" x14ac:dyDescent="0.25">
      <c r="A52" s="29">
        <v>5</v>
      </c>
      <c r="B52" s="7" t="s">
        <v>256</v>
      </c>
      <c r="C52" s="8" t="s">
        <v>257</v>
      </c>
      <c r="D52" s="8"/>
      <c r="E52" s="8" t="s">
        <v>10</v>
      </c>
      <c r="F52" s="8">
        <v>6</v>
      </c>
      <c r="G52" s="8"/>
      <c r="H52" s="8"/>
      <c r="I52" s="8"/>
      <c r="J52" s="8"/>
      <c r="K52" s="6"/>
    </row>
    <row r="53" spans="1:11" x14ac:dyDescent="0.25">
      <c r="A53" s="29">
        <v>6</v>
      </c>
      <c r="B53" s="7" t="s">
        <v>240</v>
      </c>
      <c r="C53" s="8"/>
      <c r="D53" s="8"/>
      <c r="E53" s="8" t="s">
        <v>146</v>
      </c>
      <c r="F53" s="8">
        <v>1</v>
      </c>
      <c r="G53" s="8"/>
      <c r="H53" s="8"/>
      <c r="I53" s="8"/>
      <c r="J53" s="8"/>
      <c r="K53" s="6"/>
    </row>
    <row r="54" spans="1:11" x14ac:dyDescent="0.25">
      <c r="A54" s="29">
        <v>7</v>
      </c>
      <c r="B54" s="7" t="s">
        <v>237</v>
      </c>
      <c r="C54" s="8"/>
      <c r="D54" s="8"/>
      <c r="E54" s="8" t="s">
        <v>238</v>
      </c>
      <c r="F54" s="8">
        <v>2.95</v>
      </c>
      <c r="G54" s="8"/>
      <c r="H54" s="8"/>
      <c r="I54" s="8"/>
      <c r="J54" s="8"/>
      <c r="K54" s="6"/>
    </row>
    <row r="55" spans="1:11" x14ac:dyDescent="0.25">
      <c r="A55" s="29">
        <v>8</v>
      </c>
      <c r="B55" s="7" t="s">
        <v>239</v>
      </c>
      <c r="C55" s="8"/>
      <c r="D55" s="8"/>
      <c r="E55" s="8" t="s">
        <v>238</v>
      </c>
      <c r="F55" s="8">
        <v>5.53</v>
      </c>
      <c r="G55" s="8"/>
      <c r="H55" s="8"/>
      <c r="I55" s="8"/>
      <c r="J55" s="8"/>
      <c r="K55" s="6"/>
    </row>
    <row r="56" spans="1:11" s="5" customFormat="1" ht="15" customHeight="1" outlineLevel="1" x14ac:dyDescent="0.25">
      <c r="A56" s="42" t="s">
        <v>147</v>
      </c>
      <c r="B56" s="43"/>
      <c r="C56" s="43"/>
      <c r="D56" s="43"/>
      <c r="E56" s="43"/>
      <c r="F56" s="43"/>
      <c r="G56" s="43"/>
      <c r="H56" s="43"/>
      <c r="I56" s="43"/>
      <c r="J56" s="43"/>
      <c r="K56" s="43"/>
    </row>
    <row r="57" spans="1:11" s="5" customFormat="1" ht="31.5" customHeight="1" x14ac:dyDescent="0.25">
      <c r="A57" s="1">
        <v>1</v>
      </c>
      <c r="B57" s="2" t="s">
        <v>148</v>
      </c>
      <c r="C57" s="40" t="s">
        <v>149</v>
      </c>
      <c r="D57" s="41"/>
      <c r="E57" s="1" t="s">
        <v>146</v>
      </c>
      <c r="F57" s="1">
        <v>1</v>
      </c>
      <c r="G57" s="1"/>
      <c r="H57" s="1"/>
      <c r="I57" s="20"/>
      <c r="J57" s="21">
        <v>400000</v>
      </c>
      <c r="K57" s="21">
        <f t="shared" ref="K57:K62" si="0">F57*J57</f>
        <v>400000</v>
      </c>
    </row>
    <row r="58" spans="1:11" s="5" customFormat="1" ht="15.75" customHeight="1" x14ac:dyDescent="0.25">
      <c r="A58" s="1">
        <v>2</v>
      </c>
      <c r="B58" s="2" t="s">
        <v>150</v>
      </c>
      <c r="C58" s="18"/>
      <c r="D58" s="18"/>
      <c r="E58" s="1" t="s">
        <v>146</v>
      </c>
      <c r="F58" s="1">
        <v>1</v>
      </c>
      <c r="G58" s="1"/>
      <c r="H58" s="1"/>
      <c r="I58" s="20"/>
      <c r="J58" s="21">
        <f>J55*0.03</f>
        <v>0</v>
      </c>
      <c r="K58" s="21">
        <f t="shared" si="0"/>
        <v>0</v>
      </c>
    </row>
    <row r="59" spans="1:11" s="5" customFormat="1" ht="15.75" customHeight="1" x14ac:dyDescent="0.25">
      <c r="A59" s="1">
        <v>3</v>
      </c>
      <c r="B59" s="2" t="s">
        <v>151</v>
      </c>
      <c r="C59" s="18"/>
      <c r="D59" s="18"/>
      <c r="E59" s="1" t="s">
        <v>146</v>
      </c>
      <c r="F59" s="1">
        <v>1</v>
      </c>
      <c r="G59" s="1"/>
      <c r="H59" s="1"/>
      <c r="I59" s="20"/>
      <c r="J59" s="21">
        <f>J55*0.02</f>
        <v>0</v>
      </c>
      <c r="K59" s="21">
        <f t="shared" si="0"/>
        <v>0</v>
      </c>
    </row>
    <row r="60" spans="1:11" s="5" customFormat="1" ht="15.75" customHeight="1" x14ac:dyDescent="0.25">
      <c r="A60" s="1">
        <v>4</v>
      </c>
      <c r="B60" s="2" t="s">
        <v>152</v>
      </c>
      <c r="C60" s="18"/>
      <c r="D60" s="18"/>
      <c r="E60" s="1" t="s">
        <v>146</v>
      </c>
      <c r="F60" s="1">
        <v>1</v>
      </c>
      <c r="G60" s="1"/>
      <c r="H60" s="1"/>
      <c r="I60" s="20"/>
      <c r="J60" s="21" t="e">
        <f>#REF!*0.06</f>
        <v>#REF!</v>
      </c>
      <c r="K60" s="21" t="e">
        <f t="shared" si="0"/>
        <v>#REF!</v>
      </c>
    </row>
    <row r="61" spans="1:11" s="5" customFormat="1" ht="15.75" customHeight="1" x14ac:dyDescent="0.25">
      <c r="A61" s="1">
        <v>5</v>
      </c>
      <c r="B61" s="2" t="s">
        <v>153</v>
      </c>
      <c r="C61" s="18"/>
      <c r="D61" s="18"/>
      <c r="E61" s="1" t="s">
        <v>146</v>
      </c>
      <c r="F61" s="1">
        <v>1</v>
      </c>
      <c r="G61" s="1"/>
      <c r="H61" s="1"/>
      <c r="I61" s="20"/>
      <c r="J61" s="21" t="e">
        <f>(J55+#REF!)*0.02</f>
        <v>#REF!</v>
      </c>
      <c r="K61" s="21" t="e">
        <f t="shared" si="0"/>
        <v>#REF!</v>
      </c>
    </row>
    <row r="62" spans="1:11" s="5" customFormat="1" ht="15.75" customHeight="1" x14ac:dyDescent="0.25">
      <c r="A62" s="1">
        <v>6</v>
      </c>
      <c r="B62" s="2" t="s">
        <v>154</v>
      </c>
      <c r="C62" s="18"/>
      <c r="D62" s="18"/>
      <c r="E62" s="1" t="s">
        <v>146</v>
      </c>
      <c r="F62" s="1">
        <v>1</v>
      </c>
      <c r="G62" s="1"/>
      <c r="H62" s="1"/>
      <c r="I62" s="20"/>
      <c r="J62" s="21">
        <v>150000</v>
      </c>
      <c r="K62" s="21">
        <f t="shared" si="0"/>
        <v>150000</v>
      </c>
    </row>
    <row r="63" spans="1:11" s="5" customFormat="1" ht="15.75" customHeight="1" x14ac:dyDescent="0.25">
      <c r="A63" s="1">
        <v>7</v>
      </c>
      <c r="B63" s="2" t="s">
        <v>155</v>
      </c>
      <c r="C63" s="18"/>
      <c r="D63" s="18"/>
      <c r="E63" s="1"/>
      <c r="F63" s="1"/>
      <c r="G63" s="1"/>
      <c r="H63" s="1"/>
      <c r="I63" s="20"/>
      <c r="J63" s="21"/>
      <c r="K63" s="22" t="e">
        <f>SUM(K57:K62)</f>
        <v>#REF!</v>
      </c>
    </row>
    <row r="64" spans="1:11" s="5" customFormat="1" ht="15.75" customHeight="1" x14ac:dyDescent="0.25">
      <c r="A64" s="1">
        <v>8</v>
      </c>
      <c r="B64" s="2" t="s">
        <v>156</v>
      </c>
      <c r="C64" s="18"/>
      <c r="D64" s="18"/>
      <c r="E64" s="2"/>
      <c r="F64" s="2"/>
      <c r="G64" s="2"/>
      <c r="H64" s="2"/>
      <c r="I64" s="20"/>
      <c r="J64" s="21"/>
      <c r="K64" s="21">
        <f>J55</f>
        <v>0</v>
      </c>
    </row>
    <row r="65" spans="1:11" s="5" customFormat="1" ht="15.75" customHeight="1" x14ac:dyDescent="0.25">
      <c r="A65" s="1">
        <v>9</v>
      </c>
      <c r="B65" s="2" t="s">
        <v>157</v>
      </c>
      <c r="C65" s="18"/>
      <c r="D65" s="18"/>
      <c r="E65" s="2"/>
      <c r="F65" s="2"/>
      <c r="G65" s="2"/>
      <c r="H65" s="2"/>
      <c r="I65" s="20"/>
      <c r="J65" s="21"/>
      <c r="K65" s="21" t="e">
        <f>#REF!</f>
        <v>#REF!</v>
      </c>
    </row>
    <row r="66" spans="1:11" s="5" customFormat="1" ht="15.75" customHeight="1" x14ac:dyDescent="0.25">
      <c r="A66" s="1">
        <v>10</v>
      </c>
      <c r="B66" s="2" t="s">
        <v>158</v>
      </c>
      <c r="C66" s="18"/>
      <c r="D66" s="18"/>
      <c r="E66" s="2"/>
      <c r="F66" s="2"/>
      <c r="G66" s="2"/>
      <c r="H66" s="2"/>
      <c r="I66" s="20"/>
      <c r="J66" s="21"/>
      <c r="K66" s="21" t="e">
        <f>K63</f>
        <v>#REF!</v>
      </c>
    </row>
    <row r="67" spans="1:11" s="5" customFormat="1" ht="15.75" customHeight="1" x14ac:dyDescent="0.25">
      <c r="A67" s="1">
        <v>11</v>
      </c>
      <c r="B67" s="2" t="s">
        <v>159</v>
      </c>
      <c r="C67" s="18"/>
      <c r="D67" s="18"/>
      <c r="E67" s="2"/>
      <c r="F67" s="2"/>
      <c r="G67" s="2"/>
      <c r="H67" s="2"/>
      <c r="I67" s="20"/>
      <c r="J67" s="21"/>
      <c r="K67" s="22" t="e">
        <f>SUM(K64:K66)</f>
        <v>#REF!</v>
      </c>
    </row>
    <row r="68" spans="1:11" s="5" customFormat="1" ht="15.75" customHeight="1" x14ac:dyDescent="0.25">
      <c r="A68" s="1">
        <v>12</v>
      </c>
      <c r="B68" s="2" t="s">
        <v>160</v>
      </c>
      <c r="C68" s="18"/>
      <c r="D68" s="18"/>
      <c r="E68" s="2"/>
      <c r="F68" s="2"/>
      <c r="G68" s="2"/>
      <c r="H68" s="2"/>
      <c r="I68" s="20"/>
      <c r="J68" s="21"/>
      <c r="K68" s="21" t="e">
        <f>K67*22/120</f>
        <v>#REF!</v>
      </c>
    </row>
    <row r="69" spans="1:11" s="5" customFormat="1" ht="15.75" customHeight="1" x14ac:dyDescent="0.25">
      <c r="A69" s="12"/>
      <c r="B69" s="23" t="s">
        <v>161</v>
      </c>
      <c r="C69" s="9"/>
      <c r="D69" s="10"/>
      <c r="E69" s="13"/>
      <c r="F69" s="13"/>
      <c r="G69" s="24"/>
      <c r="H69" s="24"/>
      <c r="I69" s="24"/>
      <c r="J69" s="24"/>
      <c r="K69" s="24"/>
    </row>
    <row r="70" spans="1:11" s="5" customFormat="1" ht="110.25" customHeight="1" x14ac:dyDescent="0.25">
      <c r="A70" s="12"/>
      <c r="B70" s="25" t="s">
        <v>162</v>
      </c>
      <c r="C70" s="9"/>
      <c r="D70" s="10"/>
      <c r="E70" s="13"/>
      <c r="F70" s="13"/>
      <c r="G70" s="24"/>
      <c r="H70" s="24"/>
      <c r="I70" s="24"/>
      <c r="J70" s="24"/>
      <c r="K70" s="24"/>
    </row>
  </sheetData>
  <mergeCells count="3">
    <mergeCell ref="A47:F47"/>
    <mergeCell ref="A56:K56"/>
    <mergeCell ref="C57:D5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7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8" customWidth="1"/>
    <col min="3" max="4" width="8" customWidth="1"/>
    <col min="5" max="5" width="45" customWidth="1"/>
    <col min="6" max="6" width="28" customWidth="1"/>
    <col min="7" max="7" width="10" customWidth="1"/>
    <col min="8" max="9" width="16" customWidth="1"/>
    <col min="10" max="10" width="12" customWidth="1"/>
    <col min="11" max="11" width="38" customWidth="1"/>
    <col min="12" max="12" width="28" customWidth="1"/>
    <col min="13" max="14" width="10" customWidth="1"/>
    <col min="15" max="15" width="28" customWidth="1"/>
    <col min="16" max="16" width="42" customWidth="1"/>
  </cols>
  <sheetData>
    <row r="1" spans="1:16" ht="30" x14ac:dyDescent="0.25">
      <c r="A1" s="37" t="s">
        <v>258</v>
      </c>
      <c r="B1" s="37" t="s">
        <v>259</v>
      </c>
      <c r="C1" s="37" t="s">
        <v>260</v>
      </c>
      <c r="D1" s="37" t="s">
        <v>261</v>
      </c>
      <c r="E1" s="37" t="s">
        <v>262</v>
      </c>
      <c r="F1" s="37" t="s">
        <v>263</v>
      </c>
      <c r="G1" s="37" t="s">
        <v>5</v>
      </c>
      <c r="H1" s="37" t="s">
        <v>264</v>
      </c>
      <c r="I1" s="37" t="s">
        <v>265</v>
      </c>
      <c r="J1" s="37" t="s">
        <v>266</v>
      </c>
      <c r="K1" s="37" t="s">
        <v>267</v>
      </c>
      <c r="L1" s="37" t="s">
        <v>268</v>
      </c>
      <c r="M1" s="37" t="s">
        <v>269</v>
      </c>
      <c r="N1" s="37" t="s">
        <v>270</v>
      </c>
      <c r="O1" s="37" t="s">
        <v>271</v>
      </c>
      <c r="P1" s="37" t="s">
        <v>272</v>
      </c>
    </row>
    <row r="2" spans="1:16" ht="30" x14ac:dyDescent="0.25">
      <c r="A2" s="38" t="s">
        <v>273</v>
      </c>
      <c r="B2" s="38" t="s">
        <v>274</v>
      </c>
      <c r="C2" s="38">
        <v>2</v>
      </c>
      <c r="D2" s="38">
        <v>1</v>
      </c>
      <c r="E2" s="38" t="s">
        <v>7</v>
      </c>
      <c r="F2" s="38" t="s">
        <v>8</v>
      </c>
      <c r="G2" s="38">
        <v>3</v>
      </c>
      <c r="H2" s="38">
        <v>4589.34</v>
      </c>
      <c r="I2" s="38">
        <v>6557.38</v>
      </c>
      <c r="J2" s="38" t="s">
        <v>275</v>
      </c>
      <c r="K2" s="38" t="s">
        <v>7</v>
      </c>
      <c r="L2" s="38" t="s">
        <v>276</v>
      </c>
      <c r="M2" s="38">
        <v>1.1569</v>
      </c>
      <c r="N2" s="38">
        <v>6.8599999999999994E-2</v>
      </c>
      <c r="O2" s="38" t="s">
        <v>277</v>
      </c>
      <c r="P2" s="38" t="s">
        <v>278</v>
      </c>
    </row>
    <row r="3" spans="1:16" ht="30" x14ac:dyDescent="0.25">
      <c r="A3" s="39" t="s">
        <v>279</v>
      </c>
      <c r="B3" s="39" t="s">
        <v>274</v>
      </c>
      <c r="C3" s="39">
        <v>3</v>
      </c>
      <c r="D3" s="39">
        <v>2</v>
      </c>
      <c r="E3" s="39" t="s">
        <v>12</v>
      </c>
      <c r="F3" s="39" t="s">
        <v>13</v>
      </c>
      <c r="G3" s="39">
        <v>7</v>
      </c>
      <c r="H3" s="39">
        <v>2115.7199999999998</v>
      </c>
      <c r="I3" s="39">
        <v>4725</v>
      </c>
      <c r="J3" s="39" t="s">
        <v>280</v>
      </c>
      <c r="K3" s="39" t="s">
        <v>281</v>
      </c>
      <c r="L3" s="39" t="s">
        <v>15</v>
      </c>
      <c r="M3" s="39">
        <v>0.59119999999999995</v>
      </c>
      <c r="N3" s="39">
        <v>0.05</v>
      </c>
      <c r="O3" s="39" t="s">
        <v>282</v>
      </c>
      <c r="P3" s="39" t="s">
        <v>283</v>
      </c>
    </row>
    <row r="4" spans="1:16" ht="30" x14ac:dyDescent="0.25">
      <c r="A4" s="38" t="s">
        <v>273</v>
      </c>
      <c r="B4" s="38" t="s">
        <v>274</v>
      </c>
      <c r="C4" s="38">
        <v>4</v>
      </c>
      <c r="D4" s="38">
        <v>3</v>
      </c>
      <c r="E4" s="38" t="s">
        <v>14</v>
      </c>
      <c r="F4" s="38" t="s">
        <v>15</v>
      </c>
      <c r="G4" s="38">
        <v>29</v>
      </c>
      <c r="H4" s="38">
        <v>2115.7199999999998</v>
      </c>
      <c r="I4" s="38">
        <v>4725</v>
      </c>
      <c r="J4" s="38" t="s">
        <v>280</v>
      </c>
      <c r="K4" s="38" t="s">
        <v>281</v>
      </c>
      <c r="L4" s="38" t="s">
        <v>15</v>
      </c>
      <c r="M4" s="38">
        <v>1.1154999999999999</v>
      </c>
      <c r="N4" s="38">
        <v>8.4000000000000005E-2</v>
      </c>
      <c r="O4" s="38" t="s">
        <v>282</v>
      </c>
      <c r="P4" s="38" t="s">
        <v>284</v>
      </c>
    </row>
    <row r="5" spans="1:16" ht="30" x14ac:dyDescent="0.25">
      <c r="A5" s="38" t="s">
        <v>273</v>
      </c>
      <c r="B5" s="38" t="s">
        <v>274</v>
      </c>
      <c r="C5" s="38">
        <v>5</v>
      </c>
      <c r="D5" s="38">
        <v>4</v>
      </c>
      <c r="E5" s="38" t="s">
        <v>17</v>
      </c>
      <c r="F5" s="38" t="s">
        <v>18</v>
      </c>
      <c r="G5" s="38">
        <v>8</v>
      </c>
      <c r="H5" s="38">
        <v>8578.11</v>
      </c>
      <c r="I5" s="38">
        <v>5000</v>
      </c>
      <c r="J5" s="38" t="s">
        <v>285</v>
      </c>
      <c r="K5" s="38" t="s">
        <v>286</v>
      </c>
      <c r="L5" s="38" t="s">
        <v>287</v>
      </c>
      <c r="M5" s="38">
        <v>0.755</v>
      </c>
      <c r="N5" s="38">
        <v>0.24049999999999999</v>
      </c>
      <c r="O5" s="38" t="s">
        <v>282</v>
      </c>
      <c r="P5" s="38" t="s">
        <v>284</v>
      </c>
    </row>
    <row r="6" spans="1:16" ht="30" x14ac:dyDescent="0.25">
      <c r="A6" s="38" t="s">
        <v>273</v>
      </c>
      <c r="B6" s="38" t="s">
        <v>274</v>
      </c>
      <c r="C6" s="38">
        <v>6</v>
      </c>
      <c r="D6" s="38">
        <v>5</v>
      </c>
      <c r="E6" s="38" t="s">
        <v>20</v>
      </c>
      <c r="F6" s="38" t="s">
        <v>21</v>
      </c>
      <c r="G6" s="38">
        <v>13</v>
      </c>
      <c r="H6" s="38">
        <v>2014.22</v>
      </c>
      <c r="I6" s="38">
        <v>3500</v>
      </c>
      <c r="J6" s="38" t="s">
        <v>285</v>
      </c>
      <c r="K6" s="38" t="s">
        <v>288</v>
      </c>
      <c r="L6" s="38" t="s">
        <v>21</v>
      </c>
      <c r="M6" s="38">
        <v>0.91820000000000002</v>
      </c>
      <c r="N6" s="38">
        <v>4.4499999999999998E-2</v>
      </c>
      <c r="O6" s="38" t="s">
        <v>282</v>
      </c>
      <c r="P6" s="38" t="s">
        <v>284</v>
      </c>
    </row>
    <row r="7" spans="1:16" ht="45" x14ac:dyDescent="0.25">
      <c r="A7" s="39" t="s">
        <v>279</v>
      </c>
      <c r="B7" s="39" t="s">
        <v>274</v>
      </c>
      <c r="C7" s="39">
        <v>7</v>
      </c>
      <c r="D7" s="39">
        <v>6</v>
      </c>
      <c r="E7" s="39" t="s">
        <v>23</v>
      </c>
      <c r="F7" s="39" t="s">
        <v>24</v>
      </c>
      <c r="G7" s="39">
        <v>5</v>
      </c>
      <c r="H7" s="39">
        <v>1609.79</v>
      </c>
      <c r="I7" s="39">
        <v>3500</v>
      </c>
      <c r="J7" s="39" t="s">
        <v>280</v>
      </c>
      <c r="K7" s="39" t="s">
        <v>289</v>
      </c>
      <c r="L7" s="39" t="s">
        <v>290</v>
      </c>
      <c r="M7" s="39">
        <v>0.53220000000000001</v>
      </c>
      <c r="N7" s="39">
        <v>4.1000000000000003E-3</v>
      </c>
      <c r="O7" s="39" t="s">
        <v>282</v>
      </c>
      <c r="P7" s="39" t="s">
        <v>283</v>
      </c>
    </row>
    <row r="8" spans="1:16" ht="30" x14ac:dyDescent="0.25">
      <c r="A8" s="39" t="s">
        <v>279</v>
      </c>
      <c r="B8" s="39" t="s">
        <v>274</v>
      </c>
      <c r="C8" s="39">
        <v>8</v>
      </c>
      <c r="D8" s="39">
        <v>7</v>
      </c>
      <c r="E8" s="39" t="s">
        <v>25</v>
      </c>
      <c r="F8" s="39" t="s">
        <v>26</v>
      </c>
      <c r="G8" s="39">
        <v>13</v>
      </c>
      <c r="H8" s="39">
        <v>15048.52</v>
      </c>
      <c r="I8" s="39">
        <v>10245.9</v>
      </c>
      <c r="J8" s="39" t="s">
        <v>291</v>
      </c>
      <c r="K8" s="39" t="s">
        <v>25</v>
      </c>
      <c r="L8" s="39" t="s">
        <v>292</v>
      </c>
      <c r="M8" s="39">
        <v>0.61150000000000004</v>
      </c>
      <c r="N8" s="39">
        <v>0.13869999999999999</v>
      </c>
      <c r="O8" s="39" t="s">
        <v>277</v>
      </c>
      <c r="P8" s="39" t="s">
        <v>283</v>
      </c>
    </row>
    <row r="9" spans="1:16" ht="30" x14ac:dyDescent="0.25">
      <c r="A9" s="38" t="s">
        <v>273</v>
      </c>
      <c r="B9" s="38" t="s">
        <v>274</v>
      </c>
      <c r="C9" s="38">
        <v>9</v>
      </c>
      <c r="D9" s="38">
        <v>8</v>
      </c>
      <c r="E9" s="38" t="s">
        <v>27</v>
      </c>
      <c r="F9" s="38" t="s">
        <v>28</v>
      </c>
      <c r="G9" s="38">
        <v>21</v>
      </c>
      <c r="H9" s="38">
        <v>1141.92</v>
      </c>
      <c r="I9" s="38">
        <v>3500</v>
      </c>
      <c r="J9" s="38" t="s">
        <v>285</v>
      </c>
      <c r="K9" s="38" t="s">
        <v>293</v>
      </c>
      <c r="L9" s="38" t="s">
        <v>28</v>
      </c>
      <c r="M9" s="38">
        <v>1.1211</v>
      </c>
      <c r="N9" s="38">
        <v>0.23430000000000001</v>
      </c>
      <c r="O9" s="38" t="s">
        <v>282</v>
      </c>
      <c r="P9" s="38" t="s">
        <v>284</v>
      </c>
    </row>
    <row r="10" spans="1:16" ht="30" x14ac:dyDescent="0.25">
      <c r="A10" s="39" t="s">
        <v>279</v>
      </c>
      <c r="B10" s="39" t="s">
        <v>274</v>
      </c>
      <c r="C10" s="39">
        <v>10</v>
      </c>
      <c r="D10" s="39">
        <v>9</v>
      </c>
      <c r="E10" s="39" t="s">
        <v>30</v>
      </c>
      <c r="F10" s="39" t="s">
        <v>31</v>
      </c>
      <c r="G10" s="39">
        <v>16</v>
      </c>
      <c r="H10" s="39">
        <v>2821.49</v>
      </c>
      <c r="I10" s="39">
        <v>3500</v>
      </c>
      <c r="J10" s="39" t="s">
        <v>285</v>
      </c>
      <c r="K10" s="39" t="s">
        <v>281</v>
      </c>
      <c r="L10" s="39" t="s">
        <v>294</v>
      </c>
      <c r="M10" s="39">
        <v>0.27029999999999998</v>
      </c>
      <c r="N10" s="39">
        <v>0</v>
      </c>
      <c r="O10" s="39" t="s">
        <v>282</v>
      </c>
      <c r="P10" s="39" t="s">
        <v>283</v>
      </c>
    </row>
    <row r="11" spans="1:16" ht="30" x14ac:dyDescent="0.25">
      <c r="A11" s="38" t="s">
        <v>273</v>
      </c>
      <c r="B11" s="38" t="s">
        <v>274</v>
      </c>
      <c r="C11" s="38">
        <v>11</v>
      </c>
      <c r="D11" s="38">
        <v>10</v>
      </c>
      <c r="E11" s="38" t="s">
        <v>32</v>
      </c>
      <c r="F11" s="38" t="s">
        <v>33</v>
      </c>
      <c r="G11" s="38">
        <v>348</v>
      </c>
      <c r="H11" s="38">
        <v>103.09</v>
      </c>
      <c r="I11" s="38">
        <v>300</v>
      </c>
      <c r="J11" s="38" t="s">
        <v>285</v>
      </c>
      <c r="K11" s="38" t="s">
        <v>295</v>
      </c>
      <c r="L11" s="38" t="s">
        <v>33</v>
      </c>
      <c r="M11" s="38">
        <v>1.0544</v>
      </c>
      <c r="N11" s="38">
        <v>0.85589999999999999</v>
      </c>
      <c r="O11" s="38" t="s">
        <v>282</v>
      </c>
      <c r="P11" s="38" t="s">
        <v>284</v>
      </c>
    </row>
    <row r="12" spans="1:16" ht="30" x14ac:dyDescent="0.25">
      <c r="A12" s="38" t="s">
        <v>273</v>
      </c>
      <c r="B12" s="38" t="s">
        <v>274</v>
      </c>
      <c r="C12" s="38">
        <v>12</v>
      </c>
      <c r="D12" s="38">
        <v>11</v>
      </c>
      <c r="E12" s="38" t="s">
        <v>35</v>
      </c>
      <c r="F12" s="38" t="s">
        <v>36</v>
      </c>
      <c r="G12" s="38">
        <v>3</v>
      </c>
      <c r="H12" s="38">
        <v>28138.81</v>
      </c>
      <c r="I12" s="38">
        <v>15000</v>
      </c>
      <c r="J12" s="38" t="s">
        <v>280</v>
      </c>
      <c r="K12" s="38" t="s">
        <v>35</v>
      </c>
      <c r="L12" s="38" t="s">
        <v>36</v>
      </c>
      <c r="M12" s="38">
        <v>1.2278</v>
      </c>
      <c r="N12" s="38">
        <v>0.3987</v>
      </c>
      <c r="O12" s="38" t="s">
        <v>282</v>
      </c>
      <c r="P12" s="38" t="s">
        <v>284</v>
      </c>
    </row>
    <row r="13" spans="1:16" ht="30" x14ac:dyDescent="0.25">
      <c r="A13" s="38" t="s">
        <v>273</v>
      </c>
      <c r="B13" s="38" t="s">
        <v>274</v>
      </c>
      <c r="C13" s="38">
        <v>13</v>
      </c>
      <c r="D13" s="38">
        <v>12</v>
      </c>
      <c r="E13" s="38" t="s">
        <v>38</v>
      </c>
      <c r="F13" s="38" t="s">
        <v>39</v>
      </c>
      <c r="G13" s="38">
        <v>7</v>
      </c>
      <c r="H13" s="38">
        <v>13825.16</v>
      </c>
      <c r="I13" s="38">
        <v>5500</v>
      </c>
      <c r="J13" s="38" t="s">
        <v>285</v>
      </c>
      <c r="K13" s="38" t="s">
        <v>296</v>
      </c>
      <c r="L13" s="38" t="s">
        <v>39</v>
      </c>
      <c r="M13" s="38">
        <v>1.0528</v>
      </c>
      <c r="N13" s="38">
        <v>0.3</v>
      </c>
      <c r="O13" s="38" t="s">
        <v>282</v>
      </c>
      <c r="P13" s="38" t="s">
        <v>284</v>
      </c>
    </row>
    <row r="14" spans="1:16" ht="30" x14ac:dyDescent="0.25">
      <c r="A14" s="38" t="s">
        <v>273</v>
      </c>
      <c r="B14" s="38" t="s">
        <v>274</v>
      </c>
      <c r="C14" s="38">
        <v>14</v>
      </c>
      <c r="D14" s="38">
        <v>13</v>
      </c>
      <c r="E14" s="38" t="s">
        <v>38</v>
      </c>
      <c r="F14" s="38" t="s">
        <v>41</v>
      </c>
      <c r="G14" s="38">
        <v>2</v>
      </c>
      <c r="H14" s="38">
        <v>8868.91</v>
      </c>
      <c r="I14" s="38">
        <v>5500</v>
      </c>
      <c r="J14" s="38" t="s">
        <v>280</v>
      </c>
      <c r="K14" s="38" t="s">
        <v>296</v>
      </c>
      <c r="L14" s="38" t="s">
        <v>41</v>
      </c>
      <c r="M14" s="38">
        <v>1.0528</v>
      </c>
      <c r="N14" s="38">
        <v>0.3</v>
      </c>
      <c r="O14" s="38" t="s">
        <v>282</v>
      </c>
      <c r="P14" s="38" t="s">
        <v>284</v>
      </c>
    </row>
    <row r="15" spans="1:16" ht="45" x14ac:dyDescent="0.25">
      <c r="A15" s="38" t="s">
        <v>273</v>
      </c>
      <c r="B15" s="38" t="s">
        <v>274</v>
      </c>
      <c r="C15" s="38">
        <v>15</v>
      </c>
      <c r="D15" s="38">
        <v>14</v>
      </c>
      <c r="E15" s="38" t="s">
        <v>43</v>
      </c>
      <c r="F15" s="38" t="s">
        <v>44</v>
      </c>
      <c r="G15" s="38">
        <v>52</v>
      </c>
      <c r="H15" s="38">
        <v>924.02</v>
      </c>
      <c r="I15" s="38">
        <v>0</v>
      </c>
      <c r="J15" s="38" t="s">
        <v>291</v>
      </c>
      <c r="K15" s="38" t="s">
        <v>44</v>
      </c>
      <c r="L15" s="38" t="s">
        <v>297</v>
      </c>
      <c r="M15" s="38">
        <v>0.63039999999999996</v>
      </c>
      <c r="N15" s="38">
        <v>0.40560000000000002</v>
      </c>
      <c r="O15" s="38" t="s">
        <v>277</v>
      </c>
      <c r="P15" s="38" t="s">
        <v>278</v>
      </c>
    </row>
    <row r="16" spans="1:16" ht="30" x14ac:dyDescent="0.25">
      <c r="A16" s="39" t="s">
        <v>279</v>
      </c>
      <c r="B16" s="39" t="s">
        <v>274</v>
      </c>
      <c r="C16" s="39">
        <v>16</v>
      </c>
      <c r="D16" s="39">
        <v>15</v>
      </c>
      <c r="E16" s="39" t="s">
        <v>47</v>
      </c>
      <c r="F16" s="39" t="s">
        <v>48</v>
      </c>
      <c r="G16" s="39">
        <v>26</v>
      </c>
      <c r="H16" s="39">
        <v>81320</v>
      </c>
      <c r="I16" s="39">
        <v>15000</v>
      </c>
      <c r="J16" s="39" t="s">
        <v>298</v>
      </c>
      <c r="K16" s="39" t="s">
        <v>299</v>
      </c>
      <c r="L16" s="39" t="s">
        <v>300</v>
      </c>
      <c r="M16" s="39">
        <v>0.2828</v>
      </c>
      <c r="N16" s="39">
        <v>2.0299999999999999E-2</v>
      </c>
      <c r="O16" s="39" t="s">
        <v>282</v>
      </c>
      <c r="P16" s="39" t="s">
        <v>283</v>
      </c>
    </row>
    <row r="17" spans="1:16" ht="30" x14ac:dyDescent="0.25">
      <c r="A17" s="39" t="s">
        <v>279</v>
      </c>
      <c r="B17" s="39" t="s">
        <v>274</v>
      </c>
      <c r="C17" s="39">
        <v>17</v>
      </c>
      <c r="D17" s="39">
        <v>16</v>
      </c>
      <c r="E17" s="39" t="s">
        <v>49</v>
      </c>
      <c r="F17" s="39" t="s">
        <v>50</v>
      </c>
      <c r="G17" s="39">
        <v>61</v>
      </c>
      <c r="H17" s="39">
        <v>1609.79</v>
      </c>
      <c r="I17" s="39">
        <v>3500</v>
      </c>
      <c r="J17" s="39" t="s">
        <v>280</v>
      </c>
      <c r="K17" s="39" t="s">
        <v>289</v>
      </c>
      <c r="L17" s="39" t="s">
        <v>290</v>
      </c>
      <c r="M17" s="39">
        <v>0.49619999999999997</v>
      </c>
      <c r="N17" s="39">
        <v>5.9400000000000001E-2</v>
      </c>
      <c r="O17" s="39" t="s">
        <v>282</v>
      </c>
      <c r="P17" s="39" t="s">
        <v>283</v>
      </c>
    </row>
    <row r="18" spans="1:16" ht="30" x14ac:dyDescent="0.25">
      <c r="A18" s="39" t="s">
        <v>279</v>
      </c>
      <c r="B18" s="39" t="s">
        <v>274</v>
      </c>
      <c r="C18" s="39">
        <v>18</v>
      </c>
      <c r="D18" s="39">
        <v>17</v>
      </c>
      <c r="E18" s="39" t="s">
        <v>52</v>
      </c>
      <c r="F18" s="39" t="s">
        <v>53</v>
      </c>
      <c r="G18" s="39">
        <v>18</v>
      </c>
      <c r="H18" s="39">
        <v>1130</v>
      </c>
      <c r="I18" s="39">
        <v>1500</v>
      </c>
      <c r="J18" s="39" t="s">
        <v>280</v>
      </c>
      <c r="K18" s="39" t="s">
        <v>301</v>
      </c>
      <c r="L18" s="39" t="s">
        <v>302</v>
      </c>
      <c r="M18" s="39">
        <v>0.51500000000000001</v>
      </c>
      <c r="N18" s="39">
        <v>0.10489999999999999</v>
      </c>
      <c r="O18" s="39" t="s">
        <v>282</v>
      </c>
      <c r="P18" s="39" t="s">
        <v>283</v>
      </c>
    </row>
    <row r="19" spans="1:16" ht="30" x14ac:dyDescent="0.25">
      <c r="A19" s="39" t="s">
        <v>279</v>
      </c>
      <c r="B19" s="39" t="s">
        <v>274</v>
      </c>
      <c r="C19" s="39">
        <v>19</v>
      </c>
      <c r="D19" s="39">
        <v>18</v>
      </c>
      <c r="E19" s="39" t="s">
        <v>55</v>
      </c>
      <c r="F19" s="39" t="s">
        <v>53</v>
      </c>
      <c r="G19" s="39">
        <v>18</v>
      </c>
      <c r="H19" s="39">
        <v>1130</v>
      </c>
      <c r="I19" s="39">
        <v>1500</v>
      </c>
      <c r="J19" s="39" t="s">
        <v>280</v>
      </c>
      <c r="K19" s="39" t="s">
        <v>301</v>
      </c>
      <c r="L19" s="39" t="s">
        <v>302</v>
      </c>
      <c r="M19" s="39">
        <v>0.43780000000000002</v>
      </c>
      <c r="N19" s="39">
        <v>0.1018</v>
      </c>
      <c r="O19" s="39" t="s">
        <v>282</v>
      </c>
      <c r="P19" s="39" t="s">
        <v>283</v>
      </c>
    </row>
    <row r="20" spans="1:16" ht="30" x14ac:dyDescent="0.25">
      <c r="A20" s="39" t="s">
        <v>279</v>
      </c>
      <c r="B20" s="39" t="s">
        <v>274</v>
      </c>
      <c r="C20" s="39">
        <v>20</v>
      </c>
      <c r="D20" s="39">
        <v>19</v>
      </c>
      <c r="E20" s="39" t="s">
        <v>56</v>
      </c>
      <c r="F20" s="39" t="s">
        <v>57</v>
      </c>
      <c r="G20" s="39">
        <v>270</v>
      </c>
      <c r="H20" s="39">
        <v>1141.92</v>
      </c>
      <c r="I20" s="39">
        <v>3500</v>
      </c>
      <c r="J20" s="39" t="s">
        <v>285</v>
      </c>
      <c r="K20" s="39" t="s">
        <v>293</v>
      </c>
      <c r="L20" s="39" t="s">
        <v>28</v>
      </c>
      <c r="M20" s="39">
        <v>0.28100000000000003</v>
      </c>
      <c r="N20" s="39">
        <v>1.77E-2</v>
      </c>
      <c r="O20" s="39" t="s">
        <v>282</v>
      </c>
      <c r="P20" s="39" t="s">
        <v>283</v>
      </c>
    </row>
    <row r="21" spans="1:16" ht="30" x14ac:dyDescent="0.25">
      <c r="A21" s="39" t="s">
        <v>279</v>
      </c>
      <c r="B21" s="39" t="s">
        <v>274</v>
      </c>
      <c r="C21" s="39">
        <v>21</v>
      </c>
      <c r="D21" s="39">
        <v>20</v>
      </c>
      <c r="E21" s="39" t="s">
        <v>58</v>
      </c>
      <c r="F21" s="39" t="s">
        <v>59</v>
      </c>
      <c r="G21" s="39">
        <v>43</v>
      </c>
      <c r="H21" s="39">
        <v>1130</v>
      </c>
      <c r="I21" s="39">
        <v>1500</v>
      </c>
      <c r="J21" s="39" t="s">
        <v>280</v>
      </c>
      <c r="K21" s="39" t="s">
        <v>301</v>
      </c>
      <c r="L21" s="39" t="s">
        <v>302</v>
      </c>
      <c r="M21" s="39">
        <v>0.43880000000000002</v>
      </c>
      <c r="N21" s="39">
        <v>3.8899999999999997E-2</v>
      </c>
      <c r="O21" s="39" t="s">
        <v>282</v>
      </c>
      <c r="P21" s="39" t="s">
        <v>283</v>
      </c>
    </row>
    <row r="22" spans="1:16" ht="30" x14ac:dyDescent="0.25">
      <c r="A22" s="39" t="s">
        <v>279</v>
      </c>
      <c r="B22" s="39" t="s">
        <v>274</v>
      </c>
      <c r="C22" s="39">
        <v>22</v>
      </c>
      <c r="D22" s="39">
        <v>21</v>
      </c>
      <c r="E22" s="39" t="s">
        <v>60</v>
      </c>
      <c r="F22" s="39"/>
      <c r="G22" s="39">
        <v>4</v>
      </c>
      <c r="H22" s="39">
        <v>2310</v>
      </c>
      <c r="I22" s="39"/>
      <c r="J22" s="39" t="s">
        <v>303</v>
      </c>
      <c r="K22" s="39" t="s">
        <v>304</v>
      </c>
      <c r="L22" s="39" t="s">
        <v>305</v>
      </c>
      <c r="M22" s="39">
        <v>0.4859</v>
      </c>
      <c r="N22" s="39">
        <v>0.2001</v>
      </c>
      <c r="O22" s="39" t="s">
        <v>282</v>
      </c>
      <c r="P22" s="39" t="s">
        <v>283</v>
      </c>
    </row>
    <row r="23" spans="1:16" ht="30" x14ac:dyDescent="0.25">
      <c r="A23" s="38" t="s">
        <v>273</v>
      </c>
      <c r="B23" s="38" t="s">
        <v>274</v>
      </c>
      <c r="C23" s="38">
        <v>23</v>
      </c>
      <c r="D23" s="38">
        <v>22</v>
      </c>
      <c r="E23" s="38" t="s">
        <v>62</v>
      </c>
      <c r="F23" s="38"/>
      <c r="G23" s="38">
        <v>6</v>
      </c>
      <c r="H23" s="38">
        <v>2310</v>
      </c>
      <c r="I23" s="38"/>
      <c r="J23" s="38" t="s">
        <v>303</v>
      </c>
      <c r="K23" s="38" t="s">
        <v>304</v>
      </c>
      <c r="L23" s="38" t="s">
        <v>305</v>
      </c>
      <c r="M23" s="38">
        <v>0.54900000000000004</v>
      </c>
      <c r="N23" s="38">
        <v>0.2681</v>
      </c>
      <c r="O23" s="38" t="s">
        <v>282</v>
      </c>
      <c r="P23" s="38" t="s">
        <v>284</v>
      </c>
    </row>
    <row r="24" spans="1:16" ht="30" x14ac:dyDescent="0.25">
      <c r="A24" s="39" t="s">
        <v>279</v>
      </c>
      <c r="B24" s="39" t="s">
        <v>274</v>
      </c>
      <c r="C24" s="39">
        <v>24</v>
      </c>
      <c r="D24" s="39">
        <v>23</v>
      </c>
      <c r="E24" s="39" t="s">
        <v>64</v>
      </c>
      <c r="F24" s="39"/>
      <c r="G24" s="39">
        <v>14</v>
      </c>
      <c r="H24" s="39">
        <v>2310</v>
      </c>
      <c r="I24" s="39"/>
      <c r="J24" s="39" t="s">
        <v>303</v>
      </c>
      <c r="K24" s="39" t="s">
        <v>304</v>
      </c>
      <c r="L24" s="39" t="s">
        <v>305</v>
      </c>
      <c r="M24" s="39">
        <v>0.44090000000000001</v>
      </c>
      <c r="N24" s="39">
        <v>0.17319999999999999</v>
      </c>
      <c r="O24" s="39" t="s">
        <v>282</v>
      </c>
      <c r="P24" s="39" t="s">
        <v>283</v>
      </c>
    </row>
    <row r="25" spans="1:16" ht="75" x14ac:dyDescent="0.25">
      <c r="A25" s="39" t="s">
        <v>279</v>
      </c>
      <c r="B25" s="39" t="s">
        <v>274</v>
      </c>
      <c r="C25" s="39">
        <v>25</v>
      </c>
      <c r="D25" s="39">
        <v>24</v>
      </c>
      <c r="E25" s="39" t="s">
        <v>65</v>
      </c>
      <c r="F25" s="39" t="s">
        <v>66</v>
      </c>
      <c r="G25" s="39">
        <v>7700</v>
      </c>
      <c r="H25" s="39">
        <v>25.96</v>
      </c>
      <c r="I25" s="39"/>
      <c r="J25" s="39" t="s">
        <v>291</v>
      </c>
      <c r="K25" s="39" t="s">
        <v>306</v>
      </c>
      <c r="L25" s="39" t="s">
        <v>307</v>
      </c>
      <c r="M25" s="39">
        <v>0.2949</v>
      </c>
      <c r="N25" s="39">
        <v>7.3700000000000002E-2</v>
      </c>
      <c r="O25" s="39" t="s">
        <v>277</v>
      </c>
      <c r="P25" s="39" t="s">
        <v>283</v>
      </c>
    </row>
    <row r="26" spans="1:16" ht="75" x14ac:dyDescent="0.25">
      <c r="A26" s="39" t="s">
        <v>279</v>
      </c>
      <c r="B26" s="39" t="s">
        <v>274</v>
      </c>
      <c r="C26" s="39">
        <v>26</v>
      </c>
      <c r="D26" s="39">
        <v>25</v>
      </c>
      <c r="E26" s="39" t="s">
        <v>65</v>
      </c>
      <c r="F26" s="39" t="s">
        <v>69</v>
      </c>
      <c r="G26" s="39">
        <v>900</v>
      </c>
      <c r="H26" s="39">
        <v>18.95</v>
      </c>
      <c r="I26" s="39"/>
      <c r="J26" s="39" t="s">
        <v>291</v>
      </c>
      <c r="K26" s="39" t="s">
        <v>308</v>
      </c>
      <c r="L26" s="39" t="s">
        <v>309</v>
      </c>
      <c r="M26" s="39">
        <v>0.2319</v>
      </c>
      <c r="N26" s="39">
        <v>5.9999999999999995E-4</v>
      </c>
      <c r="O26" s="39" t="s">
        <v>277</v>
      </c>
      <c r="P26" s="39" t="s">
        <v>283</v>
      </c>
    </row>
    <row r="27" spans="1:16" ht="45" x14ac:dyDescent="0.25">
      <c r="A27" s="39" t="s">
        <v>279</v>
      </c>
      <c r="B27" s="39" t="s">
        <v>274</v>
      </c>
      <c r="C27" s="39">
        <v>27</v>
      </c>
      <c r="D27" s="39">
        <v>26</v>
      </c>
      <c r="E27" s="39" t="s">
        <v>70</v>
      </c>
      <c r="F27" s="39" t="s">
        <v>71</v>
      </c>
      <c r="G27" s="39">
        <v>50</v>
      </c>
      <c r="H27" s="39">
        <v>18.95</v>
      </c>
      <c r="I27" s="39"/>
      <c r="J27" s="39" t="s">
        <v>291</v>
      </c>
      <c r="K27" s="39" t="s">
        <v>308</v>
      </c>
      <c r="L27" s="39" t="s">
        <v>309</v>
      </c>
      <c r="M27" s="39">
        <v>0.23519999999999999</v>
      </c>
      <c r="N27" s="39">
        <v>1.5E-3</v>
      </c>
      <c r="O27" s="39" t="s">
        <v>277</v>
      </c>
      <c r="P27" s="39" t="s">
        <v>283</v>
      </c>
    </row>
    <row r="28" spans="1:16" ht="30" x14ac:dyDescent="0.25">
      <c r="A28" s="39" t="s">
        <v>279</v>
      </c>
      <c r="B28" s="39" t="s">
        <v>274</v>
      </c>
      <c r="C28" s="39">
        <v>28</v>
      </c>
      <c r="D28" s="39">
        <v>27</v>
      </c>
      <c r="E28" s="39" t="s">
        <v>73</v>
      </c>
      <c r="F28" s="39" t="s">
        <v>74</v>
      </c>
      <c r="G28" s="39">
        <v>8650</v>
      </c>
      <c r="H28" s="39">
        <v>29.32</v>
      </c>
      <c r="I28" s="39">
        <v>0</v>
      </c>
      <c r="J28" s="39" t="s">
        <v>280</v>
      </c>
      <c r="K28" s="39" t="s">
        <v>310</v>
      </c>
      <c r="L28" s="39" t="s">
        <v>311</v>
      </c>
      <c r="M28" s="39">
        <v>0.44540000000000002</v>
      </c>
      <c r="N28" s="39">
        <v>0.1447</v>
      </c>
      <c r="O28" s="39" t="s">
        <v>282</v>
      </c>
      <c r="P28" s="39" t="s">
        <v>283</v>
      </c>
    </row>
    <row r="29" spans="1:16" ht="30" x14ac:dyDescent="0.25">
      <c r="A29" s="39" t="s">
        <v>279</v>
      </c>
      <c r="B29" s="39" t="s">
        <v>274</v>
      </c>
      <c r="C29" s="39">
        <v>29</v>
      </c>
      <c r="D29" s="39">
        <v>28</v>
      </c>
      <c r="E29" s="39" t="s">
        <v>76</v>
      </c>
      <c r="F29" s="39" t="s">
        <v>77</v>
      </c>
      <c r="G29" s="39">
        <v>40</v>
      </c>
      <c r="H29" s="39">
        <v>4.3099999999999996</v>
      </c>
      <c r="I29" s="39">
        <v>8.1999999999999993</v>
      </c>
      <c r="J29" s="39" t="s">
        <v>291</v>
      </c>
      <c r="K29" s="39" t="s">
        <v>312</v>
      </c>
      <c r="L29" s="39" t="s">
        <v>313</v>
      </c>
      <c r="M29" s="39">
        <v>0.30909999999999999</v>
      </c>
      <c r="N29" s="39">
        <v>3.3599999999999998E-2</v>
      </c>
      <c r="O29" s="39" t="s">
        <v>277</v>
      </c>
      <c r="P29" s="39" t="s">
        <v>283</v>
      </c>
    </row>
    <row r="30" spans="1:16" ht="30" x14ac:dyDescent="0.25">
      <c r="A30" s="39" t="s">
        <v>279</v>
      </c>
      <c r="B30" s="39" t="s">
        <v>274</v>
      </c>
      <c r="C30" s="39">
        <v>30</v>
      </c>
      <c r="D30" s="39">
        <v>29</v>
      </c>
      <c r="E30" s="39" t="s">
        <v>79</v>
      </c>
      <c r="F30" s="39" t="s">
        <v>80</v>
      </c>
      <c r="G30" s="39">
        <v>478</v>
      </c>
      <c r="H30" s="39">
        <v>40900</v>
      </c>
      <c r="I30" s="39">
        <v>15000</v>
      </c>
      <c r="J30" s="39" t="s">
        <v>298</v>
      </c>
      <c r="K30" s="39" t="s">
        <v>314</v>
      </c>
      <c r="L30" s="39" t="s">
        <v>315</v>
      </c>
      <c r="M30" s="39">
        <v>0.39739999999999998</v>
      </c>
      <c r="N30" s="39">
        <v>7.6100000000000001E-2</v>
      </c>
      <c r="O30" s="39" t="s">
        <v>282</v>
      </c>
      <c r="P30" s="39" t="s">
        <v>283</v>
      </c>
    </row>
    <row r="31" spans="1:16" ht="30" x14ac:dyDescent="0.25">
      <c r="A31" s="39" t="s">
        <v>279</v>
      </c>
      <c r="B31" s="39" t="s">
        <v>274</v>
      </c>
      <c r="C31" s="39">
        <v>31</v>
      </c>
      <c r="D31" s="39">
        <v>30</v>
      </c>
      <c r="E31" s="39" t="s">
        <v>81</v>
      </c>
      <c r="F31" s="39" t="s">
        <v>82</v>
      </c>
      <c r="G31" s="39">
        <v>15</v>
      </c>
      <c r="H31" s="39"/>
      <c r="I31" s="39"/>
      <c r="J31" s="39" t="s">
        <v>285</v>
      </c>
      <c r="K31" s="39" t="s">
        <v>316</v>
      </c>
      <c r="L31" s="39"/>
      <c r="M31" s="39">
        <v>0.28039999999999998</v>
      </c>
      <c r="N31" s="39">
        <v>0</v>
      </c>
      <c r="O31" s="39" t="s">
        <v>282</v>
      </c>
      <c r="P31" s="39" t="s">
        <v>283</v>
      </c>
    </row>
    <row r="32" spans="1:16" ht="30" x14ac:dyDescent="0.25">
      <c r="A32" s="39" t="s">
        <v>279</v>
      </c>
      <c r="B32" s="39" t="s">
        <v>274</v>
      </c>
      <c r="C32" s="39">
        <v>32</v>
      </c>
      <c r="D32" s="39">
        <v>31</v>
      </c>
      <c r="E32" s="39" t="s">
        <v>83</v>
      </c>
      <c r="F32" s="39" t="s">
        <v>84</v>
      </c>
      <c r="G32" s="39">
        <v>50</v>
      </c>
      <c r="H32" s="39">
        <v>44.26</v>
      </c>
      <c r="I32" s="39">
        <v>8.1999999999999993</v>
      </c>
      <c r="J32" s="39" t="s">
        <v>275</v>
      </c>
      <c r="K32" s="39" t="s">
        <v>317</v>
      </c>
      <c r="L32" s="39"/>
      <c r="M32" s="39">
        <v>0.48670000000000002</v>
      </c>
      <c r="N32" s="39">
        <v>0.1108</v>
      </c>
      <c r="O32" s="39" t="s">
        <v>277</v>
      </c>
      <c r="P32" s="39" t="s">
        <v>283</v>
      </c>
    </row>
    <row r="33" spans="1:16" ht="30" x14ac:dyDescent="0.25">
      <c r="A33" s="39" t="s">
        <v>279</v>
      </c>
      <c r="B33" s="39" t="s">
        <v>274</v>
      </c>
      <c r="C33" s="39">
        <v>33</v>
      </c>
      <c r="D33" s="39">
        <v>32</v>
      </c>
      <c r="E33" s="39" t="s">
        <v>85</v>
      </c>
      <c r="F33" s="39" t="s">
        <v>86</v>
      </c>
      <c r="G33" s="39">
        <v>1912</v>
      </c>
      <c r="H33" s="39">
        <v>895.93</v>
      </c>
      <c r="I33" s="39">
        <v>2500</v>
      </c>
      <c r="J33" s="39" t="s">
        <v>298</v>
      </c>
      <c r="K33" s="39" t="s">
        <v>318</v>
      </c>
      <c r="L33" s="39" t="s">
        <v>319</v>
      </c>
      <c r="M33" s="39">
        <v>0.19969999999999999</v>
      </c>
      <c r="N33" s="39">
        <v>2.5000000000000001E-3</v>
      </c>
      <c r="O33" s="39" t="s">
        <v>282</v>
      </c>
      <c r="P33" s="39" t="s">
        <v>283</v>
      </c>
    </row>
    <row r="34" spans="1:16" ht="30" x14ac:dyDescent="0.25">
      <c r="A34" s="39" t="s">
        <v>279</v>
      </c>
      <c r="B34" s="39" t="s">
        <v>274</v>
      </c>
      <c r="C34" s="39">
        <v>34</v>
      </c>
      <c r="D34" s="39">
        <v>33</v>
      </c>
      <c r="E34" s="39" t="s">
        <v>87</v>
      </c>
      <c r="F34" s="39" t="s">
        <v>88</v>
      </c>
      <c r="G34" s="39">
        <v>4091</v>
      </c>
      <c r="H34" s="39">
        <v>1565.57</v>
      </c>
      <c r="I34" s="39">
        <v>573.77</v>
      </c>
      <c r="J34" s="39" t="s">
        <v>275</v>
      </c>
      <c r="K34" s="39" t="s">
        <v>320</v>
      </c>
      <c r="L34" s="39"/>
      <c r="M34" s="39">
        <v>0.21060000000000001</v>
      </c>
      <c r="N34" s="39">
        <v>9.4999999999999998E-3</v>
      </c>
      <c r="O34" s="39" t="s">
        <v>277</v>
      </c>
      <c r="P34" s="39" t="s">
        <v>283</v>
      </c>
    </row>
    <row r="35" spans="1:16" ht="30" x14ac:dyDescent="0.25">
      <c r="A35" s="39" t="s">
        <v>279</v>
      </c>
      <c r="B35" s="39" t="s">
        <v>274</v>
      </c>
      <c r="C35" s="39">
        <v>35</v>
      </c>
      <c r="D35" s="39">
        <v>34</v>
      </c>
      <c r="E35" s="39" t="s">
        <v>89</v>
      </c>
      <c r="F35" s="39" t="s">
        <v>90</v>
      </c>
      <c r="G35" s="39">
        <v>56</v>
      </c>
      <c r="H35" s="39">
        <v>30319.56</v>
      </c>
      <c r="I35" s="39">
        <v>5000</v>
      </c>
      <c r="J35" s="39" t="s">
        <v>285</v>
      </c>
      <c r="K35" s="39" t="s">
        <v>321</v>
      </c>
      <c r="L35" s="39" t="s">
        <v>322</v>
      </c>
      <c r="M35" s="39">
        <v>0.2014</v>
      </c>
      <c r="N35" s="39">
        <v>3.0000000000000001E-3</v>
      </c>
      <c r="O35" s="39" t="s">
        <v>282</v>
      </c>
      <c r="P35" s="39" t="s">
        <v>283</v>
      </c>
    </row>
    <row r="36" spans="1:16" ht="30" x14ac:dyDescent="0.25">
      <c r="A36" s="39" t="s">
        <v>279</v>
      </c>
      <c r="B36" s="39" t="s">
        <v>274</v>
      </c>
      <c r="C36" s="39">
        <v>36</v>
      </c>
      <c r="D36" s="39">
        <v>35</v>
      </c>
      <c r="E36" s="39" t="s">
        <v>91</v>
      </c>
      <c r="F36" s="39" t="s">
        <v>92</v>
      </c>
      <c r="G36" s="39">
        <v>1912</v>
      </c>
      <c r="H36" s="39">
        <v>5.74</v>
      </c>
      <c r="I36" s="39">
        <v>8.1999999999999993</v>
      </c>
      <c r="J36" s="39" t="s">
        <v>275</v>
      </c>
      <c r="K36" s="39" t="s">
        <v>323</v>
      </c>
      <c r="L36" s="39"/>
      <c r="M36" s="39">
        <v>0.18770000000000001</v>
      </c>
      <c r="N36" s="39">
        <v>1.3599999999999999E-2</v>
      </c>
      <c r="O36" s="39" t="s">
        <v>277</v>
      </c>
      <c r="P36" s="39" t="s">
        <v>283</v>
      </c>
    </row>
    <row r="37" spans="1:16" ht="30" x14ac:dyDescent="0.25">
      <c r="A37" s="39" t="s">
        <v>279</v>
      </c>
      <c r="B37" s="39" t="s">
        <v>274</v>
      </c>
      <c r="C37" s="39">
        <v>37</v>
      </c>
      <c r="D37" s="39">
        <v>36</v>
      </c>
      <c r="E37" s="39" t="s">
        <v>93</v>
      </c>
      <c r="F37" s="39" t="s">
        <v>86</v>
      </c>
      <c r="G37" s="39">
        <v>10628</v>
      </c>
      <c r="H37" s="39">
        <v>5.74</v>
      </c>
      <c r="I37" s="39">
        <v>8.1999999999999993</v>
      </c>
      <c r="J37" s="39" t="s">
        <v>275</v>
      </c>
      <c r="K37" s="39" t="s">
        <v>323</v>
      </c>
      <c r="L37" s="39"/>
      <c r="M37" s="39">
        <v>0.20419999999999999</v>
      </c>
      <c r="N37" s="39">
        <v>1.17E-2</v>
      </c>
      <c r="O37" s="39" t="s">
        <v>277</v>
      </c>
      <c r="P37" s="39" t="s">
        <v>283</v>
      </c>
    </row>
    <row r="38" spans="1:16" ht="45" x14ac:dyDescent="0.25">
      <c r="A38" s="39" t="s">
        <v>279</v>
      </c>
      <c r="B38" s="39" t="s">
        <v>274</v>
      </c>
      <c r="C38" s="39">
        <v>38</v>
      </c>
      <c r="D38" s="39">
        <v>37</v>
      </c>
      <c r="E38" s="39" t="s">
        <v>94</v>
      </c>
      <c r="F38" s="39" t="s">
        <v>95</v>
      </c>
      <c r="G38" s="39">
        <v>96</v>
      </c>
      <c r="H38" s="39">
        <v>12713.11</v>
      </c>
      <c r="I38" s="39">
        <v>2049.1799999999998</v>
      </c>
      <c r="J38" s="39" t="s">
        <v>291</v>
      </c>
      <c r="K38" s="39" t="s">
        <v>324</v>
      </c>
      <c r="L38" s="39" t="s">
        <v>325</v>
      </c>
      <c r="M38" s="39">
        <v>0.1893</v>
      </c>
      <c r="N38" s="39">
        <v>1.9300000000000001E-2</v>
      </c>
      <c r="O38" s="39" t="s">
        <v>277</v>
      </c>
      <c r="P38" s="39" t="s">
        <v>283</v>
      </c>
    </row>
    <row r="39" spans="1:16" ht="30" x14ac:dyDescent="0.25">
      <c r="A39" s="39" t="s">
        <v>279</v>
      </c>
      <c r="B39" s="39" t="s">
        <v>274</v>
      </c>
      <c r="C39" s="39">
        <v>39</v>
      </c>
      <c r="D39" s="39">
        <v>38</v>
      </c>
      <c r="E39" s="39" t="s">
        <v>96</v>
      </c>
      <c r="F39" s="39" t="s">
        <v>86</v>
      </c>
      <c r="G39" s="39">
        <v>5000</v>
      </c>
      <c r="H39" s="39">
        <v>6.11</v>
      </c>
      <c r="I39" s="39">
        <v>8.1999999999999993</v>
      </c>
      <c r="J39" s="39" t="s">
        <v>275</v>
      </c>
      <c r="K39" s="39" t="s">
        <v>326</v>
      </c>
      <c r="L39" s="39" t="s">
        <v>327</v>
      </c>
      <c r="M39" s="39">
        <v>0.249</v>
      </c>
      <c r="N39" s="39">
        <v>4.87E-2</v>
      </c>
      <c r="O39" s="39" t="s">
        <v>277</v>
      </c>
      <c r="P39" s="39" t="s">
        <v>283</v>
      </c>
    </row>
    <row r="40" spans="1:16" ht="30" x14ac:dyDescent="0.25">
      <c r="A40" s="39" t="s">
        <v>279</v>
      </c>
      <c r="B40" s="39" t="s">
        <v>274</v>
      </c>
      <c r="C40" s="39">
        <v>40</v>
      </c>
      <c r="D40" s="39">
        <v>39</v>
      </c>
      <c r="E40" s="39" t="s">
        <v>97</v>
      </c>
      <c r="F40" s="39" t="s">
        <v>98</v>
      </c>
      <c r="G40" s="39">
        <v>24</v>
      </c>
      <c r="H40" s="39">
        <v>40900</v>
      </c>
      <c r="I40" s="39">
        <v>15000</v>
      </c>
      <c r="J40" s="39" t="s">
        <v>298</v>
      </c>
      <c r="K40" s="39" t="s">
        <v>314</v>
      </c>
      <c r="L40" s="39" t="s">
        <v>315</v>
      </c>
      <c r="M40" s="39">
        <v>0.39229999999999998</v>
      </c>
      <c r="N40" s="39">
        <v>0.2036</v>
      </c>
      <c r="O40" s="39" t="s">
        <v>282</v>
      </c>
      <c r="P40" s="39" t="s">
        <v>283</v>
      </c>
    </row>
    <row r="41" spans="1:16" ht="30" x14ac:dyDescent="0.25">
      <c r="A41" s="39" t="s">
        <v>279</v>
      </c>
      <c r="B41" s="39" t="s">
        <v>274</v>
      </c>
      <c r="C41" s="39">
        <v>41</v>
      </c>
      <c r="D41" s="39">
        <v>40</v>
      </c>
      <c r="E41" s="39" t="s">
        <v>99</v>
      </c>
      <c r="F41" s="39" t="s">
        <v>100</v>
      </c>
      <c r="G41" s="39">
        <v>20</v>
      </c>
      <c r="H41" s="39">
        <v>13825.16</v>
      </c>
      <c r="I41" s="39">
        <v>5500</v>
      </c>
      <c r="J41" s="39" t="s">
        <v>285</v>
      </c>
      <c r="K41" s="39" t="s">
        <v>296</v>
      </c>
      <c r="L41" s="39" t="s">
        <v>39</v>
      </c>
      <c r="M41" s="39">
        <v>0.17180000000000001</v>
      </c>
      <c r="N41" s="39">
        <v>0</v>
      </c>
      <c r="O41" s="39" t="s">
        <v>282</v>
      </c>
      <c r="P41" s="39" t="s">
        <v>283</v>
      </c>
    </row>
    <row r="42" spans="1:16" ht="30" x14ac:dyDescent="0.25">
      <c r="A42" s="39" t="s">
        <v>279</v>
      </c>
      <c r="B42" s="39" t="s">
        <v>274</v>
      </c>
      <c r="C42" s="39">
        <v>42</v>
      </c>
      <c r="D42" s="39">
        <v>41</v>
      </c>
      <c r="E42" s="39" t="s">
        <v>99</v>
      </c>
      <c r="F42" s="39" t="s">
        <v>101</v>
      </c>
      <c r="G42" s="39">
        <v>267</v>
      </c>
      <c r="H42" s="39">
        <v>13825.16</v>
      </c>
      <c r="I42" s="39">
        <v>5500</v>
      </c>
      <c r="J42" s="39" t="s">
        <v>285</v>
      </c>
      <c r="K42" s="39" t="s">
        <v>296</v>
      </c>
      <c r="L42" s="39" t="s">
        <v>39</v>
      </c>
      <c r="M42" s="39">
        <v>0.17180000000000001</v>
      </c>
      <c r="N42" s="39">
        <v>0</v>
      </c>
      <c r="O42" s="39" t="s">
        <v>282</v>
      </c>
      <c r="P42" s="39" t="s">
        <v>283</v>
      </c>
    </row>
    <row r="43" spans="1:16" ht="30" x14ac:dyDescent="0.25">
      <c r="A43" s="39" t="s">
        <v>279</v>
      </c>
      <c r="B43" s="39" t="s">
        <v>274</v>
      </c>
      <c r="C43" s="39">
        <v>43</v>
      </c>
      <c r="D43" s="39">
        <v>42</v>
      </c>
      <c r="E43" s="39" t="s">
        <v>102</v>
      </c>
      <c r="F43" s="39"/>
      <c r="G43" s="39">
        <v>2</v>
      </c>
      <c r="H43" s="39">
        <v>7428.32</v>
      </c>
      <c r="I43" s="39">
        <v>2500</v>
      </c>
      <c r="J43" s="39" t="s">
        <v>285</v>
      </c>
      <c r="K43" s="39" t="s">
        <v>328</v>
      </c>
      <c r="L43" s="39" t="s">
        <v>329</v>
      </c>
      <c r="M43" s="39">
        <v>0.44330000000000003</v>
      </c>
      <c r="N43" s="39">
        <v>0.13039999999999999</v>
      </c>
      <c r="O43" s="39" t="s">
        <v>282</v>
      </c>
      <c r="P43" s="39" t="s">
        <v>283</v>
      </c>
    </row>
    <row r="44" spans="1:16" ht="30" x14ac:dyDescent="0.25">
      <c r="A44" s="39" t="s">
        <v>279</v>
      </c>
      <c r="B44" s="39" t="s">
        <v>274</v>
      </c>
      <c r="C44" s="39">
        <v>44</v>
      </c>
      <c r="D44" s="39">
        <v>43</v>
      </c>
      <c r="E44" s="39" t="s">
        <v>103</v>
      </c>
      <c r="F44" s="39" t="s">
        <v>104</v>
      </c>
      <c r="G44" s="39">
        <v>3</v>
      </c>
      <c r="H44" s="39">
        <v>100.65</v>
      </c>
      <c r="I44" s="39">
        <v>350</v>
      </c>
      <c r="J44" s="39" t="s">
        <v>280</v>
      </c>
      <c r="K44" s="39" t="s">
        <v>330</v>
      </c>
      <c r="L44" s="39" t="s">
        <v>331</v>
      </c>
      <c r="M44" s="39">
        <v>0.1928</v>
      </c>
      <c r="N44" s="39">
        <v>1.54E-2</v>
      </c>
      <c r="O44" s="39" t="s">
        <v>282</v>
      </c>
      <c r="P44" s="39" t="s">
        <v>283</v>
      </c>
    </row>
    <row r="45" spans="1:16" ht="30" x14ac:dyDescent="0.25">
      <c r="A45" s="38" t="s">
        <v>273</v>
      </c>
      <c r="B45" s="38" t="s">
        <v>274</v>
      </c>
      <c r="C45" s="38">
        <v>45</v>
      </c>
      <c r="D45" s="38">
        <v>44</v>
      </c>
      <c r="E45" s="38" t="s">
        <v>7</v>
      </c>
      <c r="F45" s="38" t="s">
        <v>8</v>
      </c>
      <c r="G45" s="38">
        <v>5</v>
      </c>
      <c r="H45" s="38">
        <v>4589.34</v>
      </c>
      <c r="I45" s="38">
        <v>6557.38</v>
      </c>
      <c r="J45" s="38" t="s">
        <v>275</v>
      </c>
      <c r="K45" s="38" t="s">
        <v>7</v>
      </c>
      <c r="L45" s="38" t="s">
        <v>276</v>
      </c>
      <c r="M45" s="38">
        <v>1.1569</v>
      </c>
      <c r="N45" s="38">
        <v>6.8599999999999994E-2</v>
      </c>
      <c r="O45" s="38" t="s">
        <v>277</v>
      </c>
      <c r="P45" s="38" t="s">
        <v>278</v>
      </c>
    </row>
    <row r="46" spans="1:16" ht="30" x14ac:dyDescent="0.25">
      <c r="A46" s="39" t="s">
        <v>279</v>
      </c>
      <c r="B46" s="39" t="s">
        <v>274</v>
      </c>
      <c r="C46" s="39">
        <v>46</v>
      </c>
      <c r="D46" s="39">
        <v>45</v>
      </c>
      <c r="E46" s="39" t="s">
        <v>12</v>
      </c>
      <c r="F46" s="39" t="s">
        <v>13</v>
      </c>
      <c r="G46" s="39">
        <v>14</v>
      </c>
      <c r="H46" s="39">
        <v>2115.7199999999998</v>
      </c>
      <c r="I46" s="39">
        <v>4725</v>
      </c>
      <c r="J46" s="39" t="s">
        <v>280</v>
      </c>
      <c r="K46" s="39" t="s">
        <v>281</v>
      </c>
      <c r="L46" s="39" t="s">
        <v>15</v>
      </c>
      <c r="M46" s="39">
        <v>0.59119999999999995</v>
      </c>
      <c r="N46" s="39">
        <v>0.05</v>
      </c>
      <c r="O46" s="39" t="s">
        <v>282</v>
      </c>
      <c r="P46" s="39" t="s">
        <v>283</v>
      </c>
    </row>
    <row r="47" spans="1:16" ht="30" x14ac:dyDescent="0.25">
      <c r="A47" s="38" t="s">
        <v>273</v>
      </c>
      <c r="B47" s="38" t="s">
        <v>274</v>
      </c>
      <c r="C47" s="38">
        <v>47</v>
      </c>
      <c r="D47" s="38">
        <v>46</v>
      </c>
      <c r="E47" s="38" t="s">
        <v>105</v>
      </c>
      <c r="F47" s="38" t="s">
        <v>106</v>
      </c>
      <c r="G47" s="38">
        <v>3</v>
      </c>
      <c r="H47" s="38">
        <v>49357.91</v>
      </c>
      <c r="I47" s="38">
        <v>25000</v>
      </c>
      <c r="J47" s="38" t="s">
        <v>285</v>
      </c>
      <c r="K47" s="38" t="s">
        <v>105</v>
      </c>
      <c r="L47" s="38" t="s">
        <v>332</v>
      </c>
      <c r="M47" s="38">
        <v>1.2278</v>
      </c>
      <c r="N47" s="38">
        <v>0.91759999999999997</v>
      </c>
      <c r="O47" s="38" t="s">
        <v>282</v>
      </c>
      <c r="P47" s="38" t="s">
        <v>284</v>
      </c>
    </row>
    <row r="48" spans="1:16" ht="30" x14ac:dyDescent="0.25">
      <c r="A48" s="39" t="s">
        <v>279</v>
      </c>
      <c r="B48" s="39" t="s">
        <v>274</v>
      </c>
      <c r="C48" s="39">
        <v>48</v>
      </c>
      <c r="D48" s="39">
        <v>47</v>
      </c>
      <c r="E48" s="39" t="s">
        <v>108</v>
      </c>
      <c r="F48" s="39" t="s">
        <v>109</v>
      </c>
      <c r="G48" s="39">
        <v>4</v>
      </c>
      <c r="H48" s="39">
        <v>49357.91</v>
      </c>
      <c r="I48" s="39">
        <v>25000</v>
      </c>
      <c r="J48" s="39" t="s">
        <v>285</v>
      </c>
      <c r="K48" s="39" t="s">
        <v>105</v>
      </c>
      <c r="L48" s="39" t="s">
        <v>332</v>
      </c>
      <c r="M48" s="39">
        <v>0.66449999999999998</v>
      </c>
      <c r="N48" s="39">
        <v>0.33839999999999998</v>
      </c>
      <c r="O48" s="39" t="s">
        <v>282</v>
      </c>
      <c r="P48" s="39" t="s">
        <v>283</v>
      </c>
    </row>
    <row r="49" spans="1:16" ht="30" x14ac:dyDescent="0.25">
      <c r="A49" s="38" t="s">
        <v>273</v>
      </c>
      <c r="B49" s="38" t="s">
        <v>274</v>
      </c>
      <c r="C49" s="38">
        <v>49</v>
      </c>
      <c r="D49" s="38">
        <v>48</v>
      </c>
      <c r="E49" s="38" t="s">
        <v>20</v>
      </c>
      <c r="F49" s="38" t="s">
        <v>21</v>
      </c>
      <c r="G49" s="38">
        <v>173</v>
      </c>
      <c r="H49" s="38">
        <v>2014.22</v>
      </c>
      <c r="I49" s="38">
        <v>3500</v>
      </c>
      <c r="J49" s="38" t="s">
        <v>285</v>
      </c>
      <c r="K49" s="38" t="s">
        <v>288</v>
      </c>
      <c r="L49" s="38" t="s">
        <v>21</v>
      </c>
      <c r="M49" s="38">
        <v>0.91820000000000002</v>
      </c>
      <c r="N49" s="38">
        <v>4.4499999999999998E-2</v>
      </c>
      <c r="O49" s="38" t="s">
        <v>282</v>
      </c>
      <c r="P49" s="38" t="s">
        <v>284</v>
      </c>
    </row>
    <row r="50" spans="1:16" ht="30" x14ac:dyDescent="0.25">
      <c r="A50" s="38" t="s">
        <v>273</v>
      </c>
      <c r="B50" s="38" t="s">
        <v>274</v>
      </c>
      <c r="C50" s="38">
        <v>50</v>
      </c>
      <c r="D50" s="38">
        <v>49</v>
      </c>
      <c r="E50" s="38" t="s">
        <v>110</v>
      </c>
      <c r="F50" s="38" t="s">
        <v>111</v>
      </c>
      <c r="G50" s="38">
        <v>78</v>
      </c>
      <c r="H50" s="38">
        <v>1141.92</v>
      </c>
      <c r="I50" s="38">
        <v>3500</v>
      </c>
      <c r="J50" s="38" t="s">
        <v>285</v>
      </c>
      <c r="K50" s="38" t="s">
        <v>333</v>
      </c>
      <c r="L50" s="38" t="s">
        <v>111</v>
      </c>
      <c r="M50" s="38">
        <v>1.0450999999999999</v>
      </c>
      <c r="N50" s="38">
        <v>0.4622</v>
      </c>
      <c r="O50" s="38" t="s">
        <v>282</v>
      </c>
      <c r="P50" s="38" t="s">
        <v>284</v>
      </c>
    </row>
    <row r="51" spans="1:16" ht="30" x14ac:dyDescent="0.25">
      <c r="A51" s="39" t="s">
        <v>279</v>
      </c>
      <c r="B51" s="39" t="s">
        <v>274</v>
      </c>
      <c r="C51" s="39">
        <v>51</v>
      </c>
      <c r="D51" s="39">
        <v>50</v>
      </c>
      <c r="E51" s="39" t="s">
        <v>30</v>
      </c>
      <c r="F51" s="39" t="s">
        <v>31</v>
      </c>
      <c r="G51" s="39">
        <v>3</v>
      </c>
      <c r="H51" s="39">
        <v>2821.49</v>
      </c>
      <c r="I51" s="39">
        <v>3500</v>
      </c>
      <c r="J51" s="39" t="s">
        <v>285</v>
      </c>
      <c r="K51" s="39" t="s">
        <v>281</v>
      </c>
      <c r="L51" s="39" t="s">
        <v>294</v>
      </c>
      <c r="M51" s="39">
        <v>0.27029999999999998</v>
      </c>
      <c r="N51" s="39">
        <v>0</v>
      </c>
      <c r="O51" s="39" t="s">
        <v>282</v>
      </c>
      <c r="P51" s="39" t="s">
        <v>283</v>
      </c>
    </row>
    <row r="52" spans="1:16" ht="30" x14ac:dyDescent="0.25">
      <c r="A52" s="39" t="s">
        <v>279</v>
      </c>
      <c r="B52" s="39" t="s">
        <v>274</v>
      </c>
      <c r="C52" s="39">
        <v>52</v>
      </c>
      <c r="D52" s="39">
        <v>51</v>
      </c>
      <c r="E52" s="39" t="s">
        <v>25</v>
      </c>
      <c r="F52" s="39" t="s">
        <v>26</v>
      </c>
      <c r="G52" s="39">
        <v>5</v>
      </c>
      <c r="H52" s="39">
        <v>15048.52</v>
      </c>
      <c r="I52" s="39">
        <v>10245.9</v>
      </c>
      <c r="J52" s="39" t="s">
        <v>291</v>
      </c>
      <c r="K52" s="39" t="s">
        <v>25</v>
      </c>
      <c r="L52" s="39" t="s">
        <v>292</v>
      </c>
      <c r="M52" s="39">
        <v>0.61150000000000004</v>
      </c>
      <c r="N52" s="39">
        <v>0.13869999999999999</v>
      </c>
      <c r="O52" s="39" t="s">
        <v>277</v>
      </c>
      <c r="P52" s="39" t="s">
        <v>283</v>
      </c>
    </row>
    <row r="53" spans="1:16" ht="30" x14ac:dyDescent="0.25">
      <c r="A53" s="39" t="s">
        <v>279</v>
      </c>
      <c r="B53" s="39" t="s">
        <v>274</v>
      </c>
      <c r="C53" s="39">
        <v>53</v>
      </c>
      <c r="D53" s="39">
        <v>52</v>
      </c>
      <c r="E53" s="39" t="s">
        <v>49</v>
      </c>
      <c r="F53" s="39" t="s">
        <v>50</v>
      </c>
      <c r="G53" s="39">
        <v>8</v>
      </c>
      <c r="H53" s="39">
        <v>1609.79</v>
      </c>
      <c r="I53" s="39">
        <v>3500</v>
      </c>
      <c r="J53" s="39" t="s">
        <v>280</v>
      </c>
      <c r="K53" s="39" t="s">
        <v>289</v>
      </c>
      <c r="L53" s="39" t="s">
        <v>290</v>
      </c>
      <c r="M53" s="39">
        <v>0.49619999999999997</v>
      </c>
      <c r="N53" s="39">
        <v>5.9400000000000001E-2</v>
      </c>
      <c r="O53" s="39" t="s">
        <v>282</v>
      </c>
      <c r="P53" s="39" t="s">
        <v>283</v>
      </c>
    </row>
    <row r="54" spans="1:16" ht="30" x14ac:dyDescent="0.25">
      <c r="A54" s="38" t="s">
        <v>273</v>
      </c>
      <c r="B54" s="38" t="s">
        <v>274</v>
      </c>
      <c r="C54" s="38">
        <v>54</v>
      </c>
      <c r="D54" s="38">
        <v>53</v>
      </c>
      <c r="E54" s="38" t="s">
        <v>27</v>
      </c>
      <c r="F54" s="38" t="s">
        <v>28</v>
      </c>
      <c r="G54" s="38">
        <v>9</v>
      </c>
      <c r="H54" s="38">
        <v>1141.92</v>
      </c>
      <c r="I54" s="38">
        <v>3500</v>
      </c>
      <c r="J54" s="38" t="s">
        <v>285</v>
      </c>
      <c r="K54" s="38" t="s">
        <v>293</v>
      </c>
      <c r="L54" s="38" t="s">
        <v>28</v>
      </c>
      <c r="M54" s="38">
        <v>1.0981000000000001</v>
      </c>
      <c r="N54" s="38">
        <v>0.23430000000000001</v>
      </c>
      <c r="O54" s="38" t="s">
        <v>282</v>
      </c>
      <c r="P54" s="38" t="s">
        <v>284</v>
      </c>
    </row>
    <row r="55" spans="1:16" ht="30" x14ac:dyDescent="0.25">
      <c r="A55" s="38" t="s">
        <v>273</v>
      </c>
      <c r="B55" s="38" t="s">
        <v>274</v>
      </c>
      <c r="C55" s="38">
        <v>55</v>
      </c>
      <c r="D55" s="38">
        <v>54</v>
      </c>
      <c r="E55" s="38" t="s">
        <v>32</v>
      </c>
      <c r="F55" s="38" t="s">
        <v>33</v>
      </c>
      <c r="G55" s="38">
        <v>350</v>
      </c>
      <c r="H55" s="38">
        <v>103.09</v>
      </c>
      <c r="I55" s="38">
        <v>300</v>
      </c>
      <c r="J55" s="38" t="s">
        <v>285</v>
      </c>
      <c r="K55" s="38" t="s">
        <v>295</v>
      </c>
      <c r="L55" s="38" t="s">
        <v>33</v>
      </c>
      <c r="M55" s="38">
        <v>1.0314000000000001</v>
      </c>
      <c r="N55" s="38">
        <v>0.83289999999999997</v>
      </c>
      <c r="O55" s="38" t="s">
        <v>282</v>
      </c>
      <c r="P55" s="38" t="s">
        <v>284</v>
      </c>
    </row>
    <row r="56" spans="1:16" ht="30" x14ac:dyDescent="0.25">
      <c r="A56" s="38" t="s">
        <v>273</v>
      </c>
      <c r="B56" s="38" t="s">
        <v>274</v>
      </c>
      <c r="C56" s="38">
        <v>56</v>
      </c>
      <c r="D56" s="38">
        <v>55</v>
      </c>
      <c r="E56" s="38" t="s">
        <v>35</v>
      </c>
      <c r="F56" s="38" t="s">
        <v>36</v>
      </c>
      <c r="G56" s="38">
        <v>6</v>
      </c>
      <c r="H56" s="38">
        <v>28138.81</v>
      </c>
      <c r="I56" s="38">
        <v>15000</v>
      </c>
      <c r="J56" s="38" t="s">
        <v>280</v>
      </c>
      <c r="K56" s="38" t="s">
        <v>35</v>
      </c>
      <c r="L56" s="38" t="s">
        <v>36</v>
      </c>
      <c r="M56" s="38">
        <v>1.2048000000000001</v>
      </c>
      <c r="N56" s="38">
        <v>0.39879999999999999</v>
      </c>
      <c r="O56" s="38" t="s">
        <v>282</v>
      </c>
      <c r="P56" s="38" t="s">
        <v>284</v>
      </c>
    </row>
    <row r="57" spans="1:16" ht="30" x14ac:dyDescent="0.25">
      <c r="A57" s="39" t="s">
        <v>279</v>
      </c>
      <c r="B57" s="39" t="s">
        <v>274</v>
      </c>
      <c r="C57" s="39">
        <v>57</v>
      </c>
      <c r="D57" s="39">
        <v>56</v>
      </c>
      <c r="E57" s="39" t="s">
        <v>113</v>
      </c>
      <c r="F57" s="39" t="s">
        <v>114</v>
      </c>
      <c r="G57" s="39">
        <v>319</v>
      </c>
      <c r="H57" s="39">
        <v>1141.92</v>
      </c>
      <c r="I57" s="39">
        <v>3500</v>
      </c>
      <c r="J57" s="39" t="s">
        <v>285</v>
      </c>
      <c r="K57" s="39" t="s">
        <v>333</v>
      </c>
      <c r="L57" s="39" t="s">
        <v>111</v>
      </c>
      <c r="M57" s="39">
        <v>0.30409999999999998</v>
      </c>
      <c r="N57" s="39">
        <v>5.0299999999999997E-2</v>
      </c>
      <c r="O57" s="39" t="s">
        <v>282</v>
      </c>
      <c r="P57" s="39" t="s">
        <v>283</v>
      </c>
    </row>
    <row r="58" spans="1:16" ht="45" x14ac:dyDescent="0.25">
      <c r="A58" s="38" t="s">
        <v>273</v>
      </c>
      <c r="B58" s="38" t="s">
        <v>274</v>
      </c>
      <c r="C58" s="38">
        <v>58</v>
      </c>
      <c r="D58" s="38">
        <v>57</v>
      </c>
      <c r="E58" s="38" t="s">
        <v>43</v>
      </c>
      <c r="F58" s="38" t="s">
        <v>44</v>
      </c>
      <c r="G58" s="38">
        <v>20</v>
      </c>
      <c r="H58" s="38">
        <v>924.02</v>
      </c>
      <c r="I58" s="38">
        <v>0</v>
      </c>
      <c r="J58" s="38" t="s">
        <v>291</v>
      </c>
      <c r="K58" s="38" t="s">
        <v>44</v>
      </c>
      <c r="L58" s="38" t="s">
        <v>297</v>
      </c>
      <c r="M58" s="38">
        <v>0.64119999999999999</v>
      </c>
      <c r="N58" s="38">
        <v>0.41639999999999999</v>
      </c>
      <c r="O58" s="38" t="s">
        <v>277</v>
      </c>
      <c r="P58" s="38" t="s">
        <v>278</v>
      </c>
    </row>
    <row r="59" spans="1:16" ht="30" x14ac:dyDescent="0.25">
      <c r="A59" s="39" t="s">
        <v>279</v>
      </c>
      <c r="B59" s="39" t="s">
        <v>274</v>
      </c>
      <c r="C59" s="39">
        <v>59</v>
      </c>
      <c r="D59" s="39">
        <v>58</v>
      </c>
      <c r="E59" s="39" t="s">
        <v>47</v>
      </c>
      <c r="F59" s="39" t="s">
        <v>48</v>
      </c>
      <c r="G59" s="39">
        <v>10</v>
      </c>
      <c r="H59" s="39">
        <v>81320</v>
      </c>
      <c r="I59" s="39">
        <v>15000</v>
      </c>
      <c r="J59" s="39" t="s">
        <v>298</v>
      </c>
      <c r="K59" s="39" t="s">
        <v>299</v>
      </c>
      <c r="L59" s="39" t="s">
        <v>300</v>
      </c>
      <c r="M59" s="39">
        <v>0.2828</v>
      </c>
      <c r="N59" s="39">
        <v>9.4999999999999998E-3</v>
      </c>
      <c r="O59" s="39" t="s">
        <v>282</v>
      </c>
      <c r="P59" s="39" t="s">
        <v>283</v>
      </c>
    </row>
    <row r="60" spans="1:16" ht="30" x14ac:dyDescent="0.25">
      <c r="A60" s="39" t="s">
        <v>279</v>
      </c>
      <c r="B60" s="39" t="s">
        <v>274</v>
      </c>
      <c r="C60" s="39">
        <v>60</v>
      </c>
      <c r="D60" s="39">
        <v>59</v>
      </c>
      <c r="E60" s="39" t="s">
        <v>52</v>
      </c>
      <c r="F60" s="39" t="s">
        <v>53</v>
      </c>
      <c r="G60" s="39">
        <v>2</v>
      </c>
      <c r="H60" s="39">
        <v>1130</v>
      </c>
      <c r="I60" s="39">
        <v>1500</v>
      </c>
      <c r="J60" s="39" t="s">
        <v>280</v>
      </c>
      <c r="K60" s="39" t="s">
        <v>301</v>
      </c>
      <c r="L60" s="39" t="s">
        <v>302</v>
      </c>
      <c r="M60" s="39">
        <v>0.51500000000000001</v>
      </c>
      <c r="N60" s="39">
        <v>0.10489999999999999</v>
      </c>
      <c r="O60" s="39" t="s">
        <v>282</v>
      </c>
      <c r="P60" s="39" t="s">
        <v>283</v>
      </c>
    </row>
    <row r="61" spans="1:16" ht="30" x14ac:dyDescent="0.25">
      <c r="A61" s="39" t="s">
        <v>279</v>
      </c>
      <c r="B61" s="39" t="s">
        <v>274</v>
      </c>
      <c r="C61" s="39">
        <v>61</v>
      </c>
      <c r="D61" s="39">
        <v>60</v>
      </c>
      <c r="E61" s="39" t="s">
        <v>55</v>
      </c>
      <c r="F61" s="39" t="s">
        <v>53</v>
      </c>
      <c r="G61" s="39">
        <v>29</v>
      </c>
      <c r="H61" s="39">
        <v>1130</v>
      </c>
      <c r="I61" s="39">
        <v>1500</v>
      </c>
      <c r="J61" s="39" t="s">
        <v>280</v>
      </c>
      <c r="K61" s="39" t="s">
        <v>301</v>
      </c>
      <c r="L61" s="39" t="s">
        <v>302</v>
      </c>
      <c r="M61" s="39">
        <v>0.43780000000000002</v>
      </c>
      <c r="N61" s="39">
        <v>0.1018</v>
      </c>
      <c r="O61" s="39" t="s">
        <v>282</v>
      </c>
      <c r="P61" s="39" t="s">
        <v>283</v>
      </c>
    </row>
    <row r="62" spans="1:16" ht="30" x14ac:dyDescent="0.25">
      <c r="A62" s="39" t="s">
        <v>279</v>
      </c>
      <c r="B62" s="39" t="s">
        <v>274</v>
      </c>
      <c r="C62" s="39">
        <v>62</v>
      </c>
      <c r="D62" s="39">
        <v>61</v>
      </c>
      <c r="E62" s="39" t="s">
        <v>117</v>
      </c>
      <c r="F62" s="39" t="s">
        <v>118</v>
      </c>
      <c r="G62" s="39">
        <v>5</v>
      </c>
      <c r="H62" s="39">
        <v>2512.2199999999998</v>
      </c>
      <c r="I62" s="39">
        <v>3000</v>
      </c>
      <c r="J62" s="39" t="s">
        <v>285</v>
      </c>
      <c r="K62" s="39" t="s">
        <v>334</v>
      </c>
      <c r="L62" s="39" t="s">
        <v>335</v>
      </c>
      <c r="M62" s="39">
        <v>0.28720000000000001</v>
      </c>
      <c r="N62" s="39">
        <v>8.1600000000000006E-2</v>
      </c>
      <c r="O62" s="39" t="s">
        <v>282</v>
      </c>
      <c r="P62" s="39" t="s">
        <v>283</v>
      </c>
    </row>
    <row r="63" spans="1:16" ht="30" x14ac:dyDescent="0.25">
      <c r="A63" s="39" t="s">
        <v>279</v>
      </c>
      <c r="B63" s="39" t="s">
        <v>274</v>
      </c>
      <c r="C63" s="39">
        <v>63</v>
      </c>
      <c r="D63" s="39">
        <v>62</v>
      </c>
      <c r="E63" s="39" t="s">
        <v>120</v>
      </c>
      <c r="F63" s="39" t="s">
        <v>121</v>
      </c>
      <c r="G63" s="39">
        <v>1</v>
      </c>
      <c r="H63" s="39">
        <v>2512.2199999999998</v>
      </c>
      <c r="I63" s="39">
        <v>3000</v>
      </c>
      <c r="J63" s="39" t="s">
        <v>285</v>
      </c>
      <c r="K63" s="39" t="s">
        <v>334</v>
      </c>
      <c r="L63" s="39" t="s">
        <v>335</v>
      </c>
      <c r="M63" s="39">
        <v>0.2903</v>
      </c>
      <c r="N63" s="39">
        <v>8.3000000000000004E-2</v>
      </c>
      <c r="O63" s="39" t="s">
        <v>282</v>
      </c>
      <c r="P63" s="39" t="s">
        <v>283</v>
      </c>
    </row>
    <row r="64" spans="1:16" ht="30" x14ac:dyDescent="0.25">
      <c r="A64" s="39" t="s">
        <v>279</v>
      </c>
      <c r="B64" s="39" t="s">
        <v>274</v>
      </c>
      <c r="C64" s="39">
        <v>64</v>
      </c>
      <c r="D64" s="39">
        <v>63</v>
      </c>
      <c r="E64" s="39" t="s">
        <v>122</v>
      </c>
      <c r="F64" s="39" t="s">
        <v>123</v>
      </c>
      <c r="G64" s="39">
        <v>2</v>
      </c>
      <c r="H64" s="39">
        <v>2512.2199999999998</v>
      </c>
      <c r="I64" s="39">
        <v>3000</v>
      </c>
      <c r="J64" s="39" t="s">
        <v>285</v>
      </c>
      <c r="K64" s="39" t="s">
        <v>334</v>
      </c>
      <c r="L64" s="39" t="s">
        <v>335</v>
      </c>
      <c r="M64" s="39">
        <v>0.2903</v>
      </c>
      <c r="N64" s="39">
        <v>8.3000000000000004E-2</v>
      </c>
      <c r="O64" s="39" t="s">
        <v>282</v>
      </c>
      <c r="P64" s="39" t="s">
        <v>283</v>
      </c>
    </row>
    <row r="65" spans="1:16" ht="30" x14ac:dyDescent="0.25">
      <c r="A65" s="38" t="s">
        <v>273</v>
      </c>
      <c r="B65" s="38" t="s">
        <v>274</v>
      </c>
      <c r="C65" s="38">
        <v>65</v>
      </c>
      <c r="D65" s="38">
        <v>64</v>
      </c>
      <c r="E65" s="38" t="s">
        <v>62</v>
      </c>
      <c r="F65" s="38"/>
      <c r="G65" s="38">
        <v>12</v>
      </c>
      <c r="H65" s="38">
        <v>2310</v>
      </c>
      <c r="I65" s="38"/>
      <c r="J65" s="38" t="s">
        <v>303</v>
      </c>
      <c r="K65" s="38" t="s">
        <v>304</v>
      </c>
      <c r="L65" s="38" t="s">
        <v>305</v>
      </c>
      <c r="M65" s="38">
        <v>0.54900000000000004</v>
      </c>
      <c r="N65" s="38">
        <v>0.2681</v>
      </c>
      <c r="O65" s="38" t="s">
        <v>282</v>
      </c>
      <c r="P65" s="38" t="s">
        <v>284</v>
      </c>
    </row>
    <row r="66" spans="1:16" ht="30" x14ac:dyDescent="0.25">
      <c r="A66" s="39" t="s">
        <v>279</v>
      </c>
      <c r="B66" s="39" t="s">
        <v>274</v>
      </c>
      <c r="C66" s="39">
        <v>66</v>
      </c>
      <c r="D66" s="39">
        <v>65</v>
      </c>
      <c r="E66" s="39" t="s">
        <v>124</v>
      </c>
      <c r="F66" s="39" t="s">
        <v>125</v>
      </c>
      <c r="G66" s="39">
        <v>2</v>
      </c>
      <c r="H66" s="39">
        <v>2410.7199999999998</v>
      </c>
      <c r="I66" s="39">
        <v>3500</v>
      </c>
      <c r="J66" s="39" t="s">
        <v>303</v>
      </c>
      <c r="K66" s="39" t="s">
        <v>336</v>
      </c>
      <c r="L66" s="39" t="s">
        <v>337</v>
      </c>
      <c r="M66" s="39">
        <v>0.17929999999999999</v>
      </c>
      <c r="N66" s="39">
        <v>2.0999999999999999E-3</v>
      </c>
      <c r="O66" s="39" t="s">
        <v>282</v>
      </c>
      <c r="P66" s="39" t="s">
        <v>283</v>
      </c>
    </row>
    <row r="67" spans="1:16" ht="75" x14ac:dyDescent="0.25">
      <c r="A67" s="39" t="s">
        <v>279</v>
      </c>
      <c r="B67" s="39" t="s">
        <v>274</v>
      </c>
      <c r="C67" s="39">
        <v>67</v>
      </c>
      <c r="D67" s="39">
        <v>66</v>
      </c>
      <c r="E67" s="39" t="s">
        <v>65</v>
      </c>
      <c r="F67" s="39" t="s">
        <v>66</v>
      </c>
      <c r="G67" s="39">
        <v>3300</v>
      </c>
      <c r="H67" s="39">
        <v>25.96</v>
      </c>
      <c r="I67" s="39"/>
      <c r="J67" s="39" t="s">
        <v>291</v>
      </c>
      <c r="K67" s="39" t="s">
        <v>306</v>
      </c>
      <c r="L67" s="39" t="s">
        <v>307</v>
      </c>
      <c r="M67" s="39">
        <v>0.2949</v>
      </c>
      <c r="N67" s="39">
        <v>7.3700000000000002E-2</v>
      </c>
      <c r="O67" s="39" t="s">
        <v>277</v>
      </c>
      <c r="P67" s="39" t="s">
        <v>283</v>
      </c>
    </row>
    <row r="68" spans="1:16" ht="75" x14ac:dyDescent="0.25">
      <c r="A68" s="39" t="s">
        <v>279</v>
      </c>
      <c r="B68" s="39" t="s">
        <v>274</v>
      </c>
      <c r="C68" s="39">
        <v>68</v>
      </c>
      <c r="D68" s="39">
        <v>67</v>
      </c>
      <c r="E68" s="39" t="s">
        <v>65</v>
      </c>
      <c r="F68" s="39" t="s">
        <v>127</v>
      </c>
      <c r="G68" s="39">
        <v>3850</v>
      </c>
      <c r="H68" s="39">
        <v>18.95</v>
      </c>
      <c r="I68" s="39"/>
      <c r="J68" s="39" t="s">
        <v>291</v>
      </c>
      <c r="K68" s="39" t="s">
        <v>308</v>
      </c>
      <c r="L68" s="39" t="s">
        <v>309</v>
      </c>
      <c r="M68" s="39">
        <v>0.2319</v>
      </c>
      <c r="N68" s="39">
        <v>5.9999999999999995E-4</v>
      </c>
      <c r="O68" s="39" t="s">
        <v>277</v>
      </c>
      <c r="P68" s="39" t="s">
        <v>283</v>
      </c>
    </row>
    <row r="69" spans="1:16" ht="75" x14ac:dyDescent="0.25">
      <c r="A69" s="39" t="s">
        <v>279</v>
      </c>
      <c r="B69" s="39" t="s">
        <v>274</v>
      </c>
      <c r="C69" s="39">
        <v>69</v>
      </c>
      <c r="D69" s="39">
        <v>68</v>
      </c>
      <c r="E69" s="39" t="s">
        <v>65</v>
      </c>
      <c r="F69" s="39" t="s">
        <v>128</v>
      </c>
      <c r="G69" s="39">
        <v>350</v>
      </c>
      <c r="H69" s="39">
        <v>18.95</v>
      </c>
      <c r="I69" s="39"/>
      <c r="J69" s="39" t="s">
        <v>291</v>
      </c>
      <c r="K69" s="39" t="s">
        <v>308</v>
      </c>
      <c r="L69" s="39" t="s">
        <v>309</v>
      </c>
      <c r="M69" s="39">
        <v>0.2319</v>
      </c>
      <c r="N69" s="39">
        <v>5.9999999999999995E-4</v>
      </c>
      <c r="O69" s="39" t="s">
        <v>277</v>
      </c>
      <c r="P69" s="39" t="s">
        <v>283</v>
      </c>
    </row>
    <row r="70" spans="1:16" ht="75" x14ac:dyDescent="0.25">
      <c r="A70" s="39" t="s">
        <v>279</v>
      </c>
      <c r="B70" s="39" t="s">
        <v>274</v>
      </c>
      <c r="C70" s="39">
        <v>70</v>
      </c>
      <c r="D70" s="39">
        <v>69</v>
      </c>
      <c r="E70" s="39" t="s">
        <v>65</v>
      </c>
      <c r="F70" s="39" t="s">
        <v>69</v>
      </c>
      <c r="G70" s="39">
        <v>750</v>
      </c>
      <c r="H70" s="39">
        <v>18.95</v>
      </c>
      <c r="I70" s="39"/>
      <c r="J70" s="39" t="s">
        <v>291</v>
      </c>
      <c r="K70" s="39" t="s">
        <v>308</v>
      </c>
      <c r="L70" s="39" t="s">
        <v>309</v>
      </c>
      <c r="M70" s="39">
        <v>0.2319</v>
      </c>
      <c r="N70" s="39">
        <v>5.9999999999999995E-4</v>
      </c>
      <c r="O70" s="39" t="s">
        <v>277</v>
      </c>
      <c r="P70" s="39" t="s">
        <v>283</v>
      </c>
    </row>
    <row r="71" spans="1:16" ht="45" x14ac:dyDescent="0.25">
      <c r="A71" s="39" t="s">
        <v>279</v>
      </c>
      <c r="B71" s="39" t="s">
        <v>274</v>
      </c>
      <c r="C71" s="39">
        <v>71</v>
      </c>
      <c r="D71" s="39">
        <v>70</v>
      </c>
      <c r="E71" s="39" t="s">
        <v>70</v>
      </c>
      <c r="F71" s="39" t="s">
        <v>71</v>
      </c>
      <c r="G71" s="39">
        <v>210</v>
      </c>
      <c r="H71" s="39">
        <v>18.95</v>
      </c>
      <c r="I71" s="39"/>
      <c r="J71" s="39" t="s">
        <v>291</v>
      </c>
      <c r="K71" s="39" t="s">
        <v>308</v>
      </c>
      <c r="L71" s="39" t="s">
        <v>309</v>
      </c>
      <c r="M71" s="39">
        <v>0.23519999999999999</v>
      </c>
      <c r="N71" s="39">
        <v>1.5E-3</v>
      </c>
      <c r="O71" s="39" t="s">
        <v>277</v>
      </c>
      <c r="P71" s="39" t="s">
        <v>283</v>
      </c>
    </row>
    <row r="72" spans="1:16" ht="30" x14ac:dyDescent="0.25">
      <c r="A72" s="39" t="s">
        <v>279</v>
      </c>
      <c r="B72" s="39" t="s">
        <v>274</v>
      </c>
      <c r="C72" s="39">
        <v>72</v>
      </c>
      <c r="D72" s="39">
        <v>71</v>
      </c>
      <c r="E72" s="39" t="s">
        <v>73</v>
      </c>
      <c r="F72" s="39" t="s">
        <v>74</v>
      </c>
      <c r="G72" s="39">
        <v>8500</v>
      </c>
      <c r="H72" s="39">
        <v>29.32</v>
      </c>
      <c r="I72" s="39">
        <v>0</v>
      </c>
      <c r="J72" s="39" t="s">
        <v>280</v>
      </c>
      <c r="K72" s="39" t="s">
        <v>310</v>
      </c>
      <c r="L72" s="39" t="s">
        <v>311</v>
      </c>
      <c r="M72" s="39">
        <v>0.44540000000000002</v>
      </c>
      <c r="N72" s="39">
        <v>0.1447</v>
      </c>
      <c r="O72" s="39" t="s">
        <v>282</v>
      </c>
      <c r="P72" s="39" t="s">
        <v>283</v>
      </c>
    </row>
    <row r="73" spans="1:16" ht="30" x14ac:dyDescent="0.25">
      <c r="A73" s="39" t="s">
        <v>279</v>
      </c>
      <c r="B73" s="39" t="s">
        <v>274</v>
      </c>
      <c r="C73" s="39">
        <v>73</v>
      </c>
      <c r="D73" s="39">
        <v>72</v>
      </c>
      <c r="E73" s="39" t="s">
        <v>129</v>
      </c>
      <c r="F73" s="39" t="s">
        <v>77</v>
      </c>
      <c r="G73" s="39">
        <v>283</v>
      </c>
      <c r="H73" s="39">
        <v>4.3099999999999996</v>
      </c>
      <c r="I73" s="39">
        <v>8.1999999999999993</v>
      </c>
      <c r="J73" s="39" t="s">
        <v>291</v>
      </c>
      <c r="K73" s="39" t="s">
        <v>312</v>
      </c>
      <c r="L73" s="39" t="s">
        <v>313</v>
      </c>
      <c r="M73" s="39">
        <v>0.34089999999999998</v>
      </c>
      <c r="N73" s="39">
        <v>7.0099999999999996E-2</v>
      </c>
      <c r="O73" s="39" t="s">
        <v>277</v>
      </c>
      <c r="P73" s="39" t="s">
        <v>283</v>
      </c>
    </row>
    <row r="74" spans="1:16" ht="30" x14ac:dyDescent="0.25">
      <c r="A74" s="39" t="s">
        <v>279</v>
      </c>
      <c r="B74" s="39" t="s">
        <v>274</v>
      </c>
      <c r="C74" s="39">
        <v>74</v>
      </c>
      <c r="D74" s="39">
        <v>73</v>
      </c>
      <c r="E74" s="39" t="s">
        <v>79</v>
      </c>
      <c r="F74" s="39" t="s">
        <v>130</v>
      </c>
      <c r="G74" s="39">
        <v>300</v>
      </c>
      <c r="H74" s="39">
        <v>40900</v>
      </c>
      <c r="I74" s="39">
        <v>15000</v>
      </c>
      <c r="J74" s="39" t="s">
        <v>298</v>
      </c>
      <c r="K74" s="39" t="s">
        <v>314</v>
      </c>
      <c r="L74" s="39" t="s">
        <v>315</v>
      </c>
      <c r="M74" s="39">
        <v>0.39739999999999998</v>
      </c>
      <c r="N74" s="39">
        <v>7.6100000000000001E-2</v>
      </c>
      <c r="O74" s="39" t="s">
        <v>282</v>
      </c>
      <c r="P74" s="39" t="s">
        <v>283</v>
      </c>
    </row>
    <row r="75" spans="1:16" ht="30" x14ac:dyDescent="0.25">
      <c r="A75" s="39" t="s">
        <v>279</v>
      </c>
      <c r="B75" s="39" t="s">
        <v>274</v>
      </c>
      <c r="C75" s="39">
        <v>75</v>
      </c>
      <c r="D75" s="39">
        <v>74</v>
      </c>
      <c r="E75" s="39" t="s">
        <v>132</v>
      </c>
      <c r="F75" s="39">
        <v>150</v>
      </c>
      <c r="G75" s="39">
        <v>450</v>
      </c>
      <c r="H75" s="39">
        <v>121.86</v>
      </c>
      <c r="I75" s="39">
        <v>0</v>
      </c>
      <c r="J75" s="39" t="s">
        <v>303</v>
      </c>
      <c r="K75" s="39" t="s">
        <v>338</v>
      </c>
      <c r="L75" s="39" t="s">
        <v>339</v>
      </c>
      <c r="M75" s="39">
        <v>0.51119999999999999</v>
      </c>
      <c r="N75" s="39">
        <v>5.5199999999999999E-2</v>
      </c>
      <c r="O75" s="39" t="s">
        <v>282</v>
      </c>
      <c r="P75" s="39" t="s">
        <v>283</v>
      </c>
    </row>
    <row r="76" spans="1:16" ht="30" x14ac:dyDescent="0.25">
      <c r="A76" s="39" t="s">
        <v>279</v>
      </c>
      <c r="B76" s="39" t="s">
        <v>274</v>
      </c>
      <c r="C76" s="39">
        <v>76</v>
      </c>
      <c r="D76" s="39">
        <v>75</v>
      </c>
      <c r="E76" s="39" t="s">
        <v>81</v>
      </c>
      <c r="F76" s="39" t="s">
        <v>82</v>
      </c>
      <c r="G76" s="39">
        <v>3</v>
      </c>
      <c r="H76" s="39"/>
      <c r="I76" s="39"/>
      <c r="J76" s="39" t="s">
        <v>285</v>
      </c>
      <c r="K76" s="39" t="s">
        <v>316</v>
      </c>
      <c r="L76" s="39"/>
      <c r="M76" s="39">
        <v>0.28039999999999998</v>
      </c>
      <c r="N76" s="39">
        <v>0</v>
      </c>
      <c r="O76" s="39" t="s">
        <v>282</v>
      </c>
      <c r="P76" s="39" t="s">
        <v>283</v>
      </c>
    </row>
    <row r="77" spans="1:16" ht="30" x14ac:dyDescent="0.25">
      <c r="A77" s="39" t="s">
        <v>279</v>
      </c>
      <c r="B77" s="39" t="s">
        <v>274</v>
      </c>
      <c r="C77" s="39">
        <v>77</v>
      </c>
      <c r="D77" s="39">
        <v>76</v>
      </c>
      <c r="E77" s="39" t="s">
        <v>83</v>
      </c>
      <c r="F77" s="39" t="s">
        <v>134</v>
      </c>
      <c r="G77" s="39">
        <v>11</v>
      </c>
      <c r="H77" s="39">
        <v>44.26</v>
      </c>
      <c r="I77" s="39">
        <v>8.1999999999999993</v>
      </c>
      <c r="J77" s="39" t="s">
        <v>275</v>
      </c>
      <c r="K77" s="39" t="s">
        <v>317</v>
      </c>
      <c r="L77" s="39"/>
      <c r="M77" s="39">
        <v>0.48670000000000002</v>
      </c>
      <c r="N77" s="39">
        <v>0.1108</v>
      </c>
      <c r="O77" s="39" t="s">
        <v>277</v>
      </c>
      <c r="P77" s="39" t="s">
        <v>283</v>
      </c>
    </row>
    <row r="78" spans="1:16" ht="30" x14ac:dyDescent="0.25">
      <c r="A78" s="39" t="s">
        <v>279</v>
      </c>
      <c r="B78" s="39" t="s">
        <v>274</v>
      </c>
      <c r="C78" s="39">
        <v>78</v>
      </c>
      <c r="D78" s="39">
        <v>77</v>
      </c>
      <c r="E78" s="39" t="s">
        <v>87</v>
      </c>
      <c r="F78" s="39" t="s">
        <v>135</v>
      </c>
      <c r="G78" s="39">
        <v>450</v>
      </c>
      <c r="H78" s="39">
        <v>1565.57</v>
      </c>
      <c r="I78" s="39">
        <v>573.77</v>
      </c>
      <c r="J78" s="39" t="s">
        <v>275</v>
      </c>
      <c r="K78" s="39" t="s">
        <v>320</v>
      </c>
      <c r="L78" s="39"/>
      <c r="M78" s="39">
        <v>0.21060000000000001</v>
      </c>
      <c r="N78" s="39">
        <v>9.4999999999999998E-3</v>
      </c>
      <c r="O78" s="39" t="s">
        <v>277</v>
      </c>
      <c r="P78" s="39" t="s">
        <v>283</v>
      </c>
    </row>
    <row r="79" spans="1:16" ht="30" x14ac:dyDescent="0.25">
      <c r="A79" s="39" t="s">
        <v>279</v>
      </c>
      <c r="B79" s="39" t="s">
        <v>274</v>
      </c>
      <c r="C79" s="39">
        <v>79</v>
      </c>
      <c r="D79" s="39">
        <v>78</v>
      </c>
      <c r="E79" s="39" t="s">
        <v>87</v>
      </c>
      <c r="F79" s="39" t="s">
        <v>136</v>
      </c>
      <c r="G79" s="39">
        <v>5</v>
      </c>
      <c r="H79" s="39">
        <v>1565.57</v>
      </c>
      <c r="I79" s="39">
        <v>573.77</v>
      </c>
      <c r="J79" s="39" t="s">
        <v>275</v>
      </c>
      <c r="K79" s="39" t="s">
        <v>320</v>
      </c>
      <c r="L79" s="39"/>
      <c r="M79" s="39">
        <v>0.21060000000000001</v>
      </c>
      <c r="N79" s="39">
        <v>9.4999999999999998E-3</v>
      </c>
      <c r="O79" s="39" t="s">
        <v>277</v>
      </c>
      <c r="P79" s="39" t="s">
        <v>283</v>
      </c>
    </row>
    <row r="80" spans="1:16" ht="30" x14ac:dyDescent="0.25">
      <c r="A80" s="39" t="s">
        <v>279</v>
      </c>
      <c r="B80" s="39" t="s">
        <v>274</v>
      </c>
      <c r="C80" s="39">
        <v>80</v>
      </c>
      <c r="D80" s="39">
        <v>79</v>
      </c>
      <c r="E80" s="39" t="s">
        <v>137</v>
      </c>
      <c r="F80" s="39" t="s">
        <v>138</v>
      </c>
      <c r="G80" s="39">
        <v>10</v>
      </c>
      <c r="H80" s="39">
        <v>350</v>
      </c>
      <c r="I80" s="39">
        <v>500</v>
      </c>
      <c r="J80" s="39" t="s">
        <v>303</v>
      </c>
      <c r="K80" s="39" t="s">
        <v>340</v>
      </c>
      <c r="L80" s="39" t="s">
        <v>341</v>
      </c>
      <c r="M80" s="39">
        <v>0.1573</v>
      </c>
      <c r="N80" s="39">
        <v>1.06E-2</v>
      </c>
      <c r="O80" s="39" t="s">
        <v>282</v>
      </c>
      <c r="P80" s="39" t="s">
        <v>283</v>
      </c>
    </row>
    <row r="81" spans="1:16" ht="45" x14ac:dyDescent="0.25">
      <c r="A81" s="39" t="s">
        <v>279</v>
      </c>
      <c r="B81" s="39" t="s">
        <v>274</v>
      </c>
      <c r="C81" s="39">
        <v>81</v>
      </c>
      <c r="D81" s="39">
        <v>80</v>
      </c>
      <c r="E81" s="39" t="s">
        <v>94</v>
      </c>
      <c r="F81" s="39" t="s">
        <v>86</v>
      </c>
      <c r="G81" s="39">
        <v>1380</v>
      </c>
      <c r="H81" s="39">
        <v>12713.11</v>
      </c>
      <c r="I81" s="39">
        <v>2049.1799999999998</v>
      </c>
      <c r="J81" s="39" t="s">
        <v>291</v>
      </c>
      <c r="K81" s="39" t="s">
        <v>324</v>
      </c>
      <c r="L81" s="39" t="s">
        <v>325</v>
      </c>
      <c r="M81" s="39">
        <v>0.1893</v>
      </c>
      <c r="N81" s="39">
        <v>1.9300000000000001E-2</v>
      </c>
      <c r="O81" s="39" t="s">
        <v>277</v>
      </c>
      <c r="P81" s="39" t="s">
        <v>283</v>
      </c>
    </row>
    <row r="82" spans="1:16" ht="30" x14ac:dyDescent="0.25">
      <c r="A82" s="39" t="s">
        <v>279</v>
      </c>
      <c r="B82" s="39" t="s">
        <v>274</v>
      </c>
      <c r="C82" s="39">
        <v>82</v>
      </c>
      <c r="D82" s="39">
        <v>81</v>
      </c>
      <c r="E82" s="39" t="s">
        <v>96</v>
      </c>
      <c r="F82" s="39" t="s">
        <v>86</v>
      </c>
      <c r="G82" s="39">
        <v>1380</v>
      </c>
      <c r="H82" s="39">
        <v>6.11</v>
      </c>
      <c r="I82" s="39">
        <v>8.1999999999999993</v>
      </c>
      <c r="J82" s="39" t="s">
        <v>275</v>
      </c>
      <c r="K82" s="39" t="s">
        <v>326</v>
      </c>
      <c r="L82" s="39" t="s">
        <v>327</v>
      </c>
      <c r="M82" s="39">
        <v>0.249</v>
      </c>
      <c r="N82" s="39">
        <v>4.87E-2</v>
      </c>
      <c r="O82" s="39" t="s">
        <v>277</v>
      </c>
      <c r="P82" s="39" t="s">
        <v>283</v>
      </c>
    </row>
    <row r="83" spans="1:16" ht="30" x14ac:dyDescent="0.25">
      <c r="A83" s="39" t="s">
        <v>279</v>
      </c>
      <c r="B83" s="39" t="s">
        <v>274</v>
      </c>
      <c r="C83" s="39">
        <v>83</v>
      </c>
      <c r="D83" s="39">
        <v>82</v>
      </c>
      <c r="E83" s="39" t="s">
        <v>139</v>
      </c>
      <c r="F83" s="39" t="s">
        <v>86</v>
      </c>
      <c r="G83" s="39">
        <v>450</v>
      </c>
      <c r="H83" s="39">
        <v>81320</v>
      </c>
      <c r="I83" s="39">
        <v>15000</v>
      </c>
      <c r="J83" s="39" t="s">
        <v>298</v>
      </c>
      <c r="K83" s="39" t="s">
        <v>299</v>
      </c>
      <c r="L83" s="39" t="s">
        <v>300</v>
      </c>
      <c r="M83" s="39">
        <v>0.18809999999999999</v>
      </c>
      <c r="N83" s="39">
        <v>5.4000000000000003E-3</v>
      </c>
      <c r="O83" s="39" t="s">
        <v>282</v>
      </c>
      <c r="P83" s="39" t="s">
        <v>283</v>
      </c>
    </row>
    <row r="84" spans="1:16" ht="30" x14ac:dyDescent="0.25">
      <c r="A84" s="39" t="s">
        <v>279</v>
      </c>
      <c r="B84" s="39" t="s">
        <v>274</v>
      </c>
      <c r="C84" s="39">
        <v>84</v>
      </c>
      <c r="D84" s="39">
        <v>83</v>
      </c>
      <c r="E84" s="39" t="s">
        <v>140</v>
      </c>
      <c r="F84" s="39" t="s">
        <v>141</v>
      </c>
      <c r="G84" s="39">
        <v>2700</v>
      </c>
      <c r="H84" s="39">
        <v>37300</v>
      </c>
      <c r="I84" s="39">
        <v>25000</v>
      </c>
      <c r="J84" s="39" t="s">
        <v>342</v>
      </c>
      <c r="K84" s="39" t="s">
        <v>343</v>
      </c>
      <c r="L84" s="39" t="s">
        <v>344</v>
      </c>
      <c r="M84" s="39">
        <v>0.16339999999999999</v>
      </c>
      <c r="N84" s="39">
        <v>1.2200000000000001E-2</v>
      </c>
      <c r="O84" s="39" t="s">
        <v>282</v>
      </c>
      <c r="P84" s="39" t="s">
        <v>283</v>
      </c>
    </row>
    <row r="85" spans="1:16" ht="45" x14ac:dyDescent="0.25">
      <c r="A85" s="39" t="s">
        <v>279</v>
      </c>
      <c r="B85" s="39" t="s">
        <v>274</v>
      </c>
      <c r="C85" s="39">
        <v>85</v>
      </c>
      <c r="D85" s="39">
        <v>84</v>
      </c>
      <c r="E85" s="39" t="s">
        <v>143</v>
      </c>
      <c r="F85" s="39" t="s">
        <v>144</v>
      </c>
      <c r="G85" s="39">
        <v>3</v>
      </c>
      <c r="H85" s="39">
        <v>542.62</v>
      </c>
      <c r="I85" s="39">
        <v>819.67</v>
      </c>
      <c r="J85" s="39" t="s">
        <v>275</v>
      </c>
      <c r="K85" s="39" t="s">
        <v>345</v>
      </c>
      <c r="L85" s="39" t="s">
        <v>346</v>
      </c>
      <c r="M85" s="39">
        <v>0.28100000000000003</v>
      </c>
      <c r="N85" s="39">
        <v>4.1000000000000002E-2</v>
      </c>
      <c r="O85" s="39" t="s">
        <v>277</v>
      </c>
      <c r="P85" s="39" t="s">
        <v>283</v>
      </c>
    </row>
    <row r="86" spans="1:16" ht="30" x14ac:dyDescent="0.25">
      <c r="A86" s="39" t="s">
        <v>279</v>
      </c>
      <c r="B86" s="39" t="s">
        <v>274</v>
      </c>
      <c r="C86" s="39">
        <v>86</v>
      </c>
      <c r="D86" s="39">
        <v>85</v>
      </c>
      <c r="E86" s="39" t="s">
        <v>102</v>
      </c>
      <c r="F86" s="39"/>
      <c r="G86" s="39">
        <v>3</v>
      </c>
      <c r="H86" s="39">
        <v>7428.32</v>
      </c>
      <c r="I86" s="39">
        <v>2500</v>
      </c>
      <c r="J86" s="39" t="s">
        <v>285</v>
      </c>
      <c r="K86" s="39" t="s">
        <v>328</v>
      </c>
      <c r="L86" s="39" t="s">
        <v>329</v>
      </c>
      <c r="M86" s="39">
        <v>0.44330000000000003</v>
      </c>
      <c r="N86" s="39">
        <v>0.13039999999999999</v>
      </c>
      <c r="O86" s="39" t="s">
        <v>282</v>
      </c>
      <c r="P86" s="39" t="s">
        <v>283</v>
      </c>
    </row>
    <row r="87" spans="1:16" ht="30" x14ac:dyDescent="0.25">
      <c r="A87" s="39" t="s">
        <v>279</v>
      </c>
      <c r="B87" s="39" t="s">
        <v>274</v>
      </c>
      <c r="C87" s="39">
        <v>87</v>
      </c>
      <c r="D87" s="39">
        <v>86</v>
      </c>
      <c r="E87" s="39" t="s">
        <v>103</v>
      </c>
      <c r="F87" s="39" t="s">
        <v>104</v>
      </c>
      <c r="G87" s="39">
        <v>11</v>
      </c>
      <c r="H87" s="39">
        <v>100.65</v>
      </c>
      <c r="I87" s="39">
        <v>350</v>
      </c>
      <c r="J87" s="39" t="s">
        <v>280</v>
      </c>
      <c r="K87" s="39" t="s">
        <v>330</v>
      </c>
      <c r="L87" s="39" t="s">
        <v>331</v>
      </c>
      <c r="M87" s="39">
        <v>0.1928</v>
      </c>
      <c r="N87" s="39">
        <v>1.54E-2</v>
      </c>
      <c r="O87" s="39" t="s">
        <v>282</v>
      </c>
      <c r="P87" s="39" t="s">
        <v>283</v>
      </c>
    </row>
    <row r="88" spans="1:16" ht="30" x14ac:dyDescent="0.25">
      <c r="A88" s="39" t="s">
        <v>279</v>
      </c>
      <c r="B88" s="39" t="s">
        <v>274</v>
      </c>
      <c r="C88" s="39">
        <v>88</v>
      </c>
      <c r="D88" s="39">
        <v>87</v>
      </c>
      <c r="E88" s="39" t="s">
        <v>145</v>
      </c>
      <c r="F88" s="39"/>
      <c r="G88" s="39">
        <v>1</v>
      </c>
      <c r="H88" s="39">
        <v>25000</v>
      </c>
      <c r="I88" s="39">
        <v>0</v>
      </c>
      <c r="J88" s="39" t="s">
        <v>342</v>
      </c>
      <c r="K88" s="39" t="s">
        <v>145</v>
      </c>
      <c r="L88" s="39" t="s">
        <v>305</v>
      </c>
      <c r="M88" s="39">
        <v>0.56999999999999995</v>
      </c>
      <c r="N88" s="39">
        <v>0</v>
      </c>
      <c r="O88" s="39" t="s">
        <v>282</v>
      </c>
      <c r="P88" s="39" t="s">
        <v>283</v>
      </c>
    </row>
    <row r="89" spans="1:16" ht="30" x14ac:dyDescent="0.25">
      <c r="A89" s="39" t="s">
        <v>279</v>
      </c>
      <c r="B89" s="39" t="s">
        <v>274</v>
      </c>
      <c r="C89" s="39">
        <v>90</v>
      </c>
      <c r="D89" s="39">
        <v>1</v>
      </c>
      <c r="E89" s="39" t="s">
        <v>148</v>
      </c>
      <c r="F89" s="39" t="s">
        <v>149</v>
      </c>
      <c r="G89" s="39">
        <v>1</v>
      </c>
      <c r="H89" s="39"/>
      <c r="I89" s="39"/>
      <c r="J89" s="39" t="s">
        <v>291</v>
      </c>
      <c r="K89" s="39" t="s">
        <v>347</v>
      </c>
      <c r="L89" s="39"/>
      <c r="M89" s="39">
        <v>0.32500000000000001</v>
      </c>
      <c r="N89" s="39">
        <v>0.1918</v>
      </c>
      <c r="O89" s="39" t="s">
        <v>277</v>
      </c>
      <c r="P89" s="39" t="s">
        <v>283</v>
      </c>
    </row>
    <row r="90" spans="1:16" ht="30" x14ac:dyDescent="0.25">
      <c r="A90" s="39" t="s">
        <v>279</v>
      </c>
      <c r="B90" s="39" t="s">
        <v>274</v>
      </c>
      <c r="C90" s="39">
        <v>91</v>
      </c>
      <c r="D90" s="39">
        <v>2</v>
      </c>
      <c r="E90" s="39" t="s">
        <v>150</v>
      </c>
      <c r="F90" s="39"/>
      <c r="G90" s="39">
        <v>1</v>
      </c>
      <c r="H90" s="39">
        <v>48688.31</v>
      </c>
      <c r="I90" s="39"/>
      <c r="J90" s="39" t="s">
        <v>285</v>
      </c>
      <c r="K90" s="39" t="s">
        <v>150</v>
      </c>
      <c r="L90" s="39"/>
      <c r="M90" s="39">
        <v>0.6</v>
      </c>
      <c r="N90" s="39">
        <v>0</v>
      </c>
      <c r="O90" s="39" t="s">
        <v>282</v>
      </c>
      <c r="P90" s="39" t="s">
        <v>283</v>
      </c>
    </row>
    <row r="91" spans="1:16" ht="30" x14ac:dyDescent="0.25">
      <c r="A91" s="39" t="s">
        <v>279</v>
      </c>
      <c r="B91" s="39" t="s">
        <v>274</v>
      </c>
      <c r="C91" s="39">
        <v>92</v>
      </c>
      <c r="D91" s="39">
        <v>3</v>
      </c>
      <c r="E91" s="39" t="s">
        <v>151</v>
      </c>
      <c r="F91" s="39"/>
      <c r="G91" s="39">
        <v>1</v>
      </c>
      <c r="H91" s="39">
        <v>32458.87</v>
      </c>
      <c r="I91" s="39"/>
      <c r="J91" s="39" t="s">
        <v>285</v>
      </c>
      <c r="K91" s="39" t="s">
        <v>151</v>
      </c>
      <c r="L91" s="39"/>
      <c r="M91" s="39">
        <v>0.6</v>
      </c>
      <c r="N91" s="39">
        <v>0</v>
      </c>
      <c r="O91" s="39" t="s">
        <v>282</v>
      </c>
      <c r="P91" s="39" t="s">
        <v>283</v>
      </c>
    </row>
    <row r="92" spans="1:16" ht="30" x14ac:dyDescent="0.25">
      <c r="A92" s="39" t="s">
        <v>279</v>
      </c>
      <c r="B92" s="39" t="s">
        <v>274</v>
      </c>
      <c r="C92" s="39">
        <v>93</v>
      </c>
      <c r="D92" s="39">
        <v>4</v>
      </c>
      <c r="E92" s="39" t="s">
        <v>152</v>
      </c>
      <c r="F92" s="39"/>
      <c r="G92" s="39">
        <v>1</v>
      </c>
      <c r="H92" s="39">
        <v>71694</v>
      </c>
      <c r="I92" s="39"/>
      <c r="J92" s="39" t="s">
        <v>285</v>
      </c>
      <c r="K92" s="39" t="s">
        <v>152</v>
      </c>
      <c r="L92" s="39"/>
      <c r="M92" s="39">
        <v>0.6</v>
      </c>
      <c r="N92" s="39">
        <v>0</v>
      </c>
      <c r="O92" s="39" t="s">
        <v>282</v>
      </c>
      <c r="P92" s="39" t="s">
        <v>283</v>
      </c>
    </row>
    <row r="93" spans="1:16" ht="30" x14ac:dyDescent="0.25">
      <c r="A93" s="39" t="s">
        <v>279</v>
      </c>
      <c r="B93" s="39" t="s">
        <v>274</v>
      </c>
      <c r="C93" s="39">
        <v>94</v>
      </c>
      <c r="D93" s="39">
        <v>5</v>
      </c>
      <c r="E93" s="39" t="s">
        <v>153</v>
      </c>
      <c r="F93" s="39"/>
      <c r="G93" s="39">
        <v>1</v>
      </c>
      <c r="H93" s="39">
        <v>56356.87</v>
      </c>
      <c r="I93" s="39"/>
      <c r="J93" s="39" t="s">
        <v>285</v>
      </c>
      <c r="K93" s="39" t="s">
        <v>153</v>
      </c>
      <c r="L93" s="39"/>
      <c r="M93" s="39">
        <v>0.6</v>
      </c>
      <c r="N93" s="39">
        <v>0</v>
      </c>
      <c r="O93" s="39" t="s">
        <v>282</v>
      </c>
      <c r="P93" s="39" t="s">
        <v>283</v>
      </c>
    </row>
    <row r="94" spans="1:16" ht="30" x14ac:dyDescent="0.25">
      <c r="A94" s="39" t="s">
        <v>279</v>
      </c>
      <c r="B94" s="39" t="s">
        <v>274</v>
      </c>
      <c r="C94" s="39">
        <v>95</v>
      </c>
      <c r="D94" s="39">
        <v>6</v>
      </c>
      <c r="E94" s="39" t="s">
        <v>154</v>
      </c>
      <c r="F94" s="39"/>
      <c r="G94" s="39">
        <v>1</v>
      </c>
      <c r="H94" s="39"/>
      <c r="I94" s="39"/>
      <c r="J94" s="39" t="s">
        <v>285</v>
      </c>
      <c r="K94" s="39" t="s">
        <v>316</v>
      </c>
      <c r="L94" s="39"/>
      <c r="M94" s="39">
        <v>0.6</v>
      </c>
      <c r="N94" s="39">
        <v>0</v>
      </c>
      <c r="O94" s="39" t="s">
        <v>282</v>
      </c>
      <c r="P94" s="39" t="s">
        <v>283</v>
      </c>
    </row>
    <row r="95" spans="1:16" ht="30" x14ac:dyDescent="0.25">
      <c r="A95" s="39" t="s">
        <v>279</v>
      </c>
      <c r="B95" s="39" t="s">
        <v>274</v>
      </c>
      <c r="C95" s="39">
        <v>96</v>
      </c>
      <c r="D95" s="39">
        <v>7</v>
      </c>
      <c r="E95" s="39" t="s">
        <v>155</v>
      </c>
      <c r="F95" s="39"/>
      <c r="G95" s="39"/>
      <c r="H95" s="39"/>
      <c r="I95" s="39"/>
      <c r="J95" s="39" t="s">
        <v>285</v>
      </c>
      <c r="K95" s="39" t="s">
        <v>155</v>
      </c>
      <c r="L95" s="39"/>
      <c r="M95" s="39">
        <v>0.56999999999999995</v>
      </c>
      <c r="N95" s="39">
        <v>0</v>
      </c>
      <c r="O95" s="39" t="s">
        <v>282</v>
      </c>
      <c r="P95" s="39" t="s">
        <v>283</v>
      </c>
    </row>
    <row r="96" spans="1:16" ht="30" x14ac:dyDescent="0.25">
      <c r="A96" s="38" t="s">
        <v>273</v>
      </c>
      <c r="B96" s="38" t="s">
        <v>348</v>
      </c>
      <c r="C96" s="38">
        <v>2</v>
      </c>
      <c r="D96" s="38">
        <v>1</v>
      </c>
      <c r="E96" s="38" t="s">
        <v>7</v>
      </c>
      <c r="F96" s="38" t="s">
        <v>8</v>
      </c>
      <c r="G96" s="38">
        <v>4</v>
      </c>
      <c r="H96" s="38">
        <v>4589.34</v>
      </c>
      <c r="I96" s="38">
        <v>6557.38</v>
      </c>
      <c r="J96" s="38" t="s">
        <v>275</v>
      </c>
      <c r="K96" s="38" t="s">
        <v>7</v>
      </c>
      <c r="L96" s="38" t="s">
        <v>276</v>
      </c>
      <c r="M96" s="38">
        <v>1.1569</v>
      </c>
      <c r="N96" s="38">
        <v>6.8599999999999994E-2</v>
      </c>
      <c r="O96" s="38" t="s">
        <v>277</v>
      </c>
      <c r="P96" s="38" t="s">
        <v>278</v>
      </c>
    </row>
    <row r="97" spans="1:16" ht="30" x14ac:dyDescent="0.25">
      <c r="A97" s="39" t="s">
        <v>279</v>
      </c>
      <c r="B97" s="39" t="s">
        <v>348</v>
      </c>
      <c r="C97" s="39">
        <v>3</v>
      </c>
      <c r="D97" s="39">
        <v>2</v>
      </c>
      <c r="E97" s="39" t="s">
        <v>12</v>
      </c>
      <c r="F97" s="39" t="s">
        <v>13</v>
      </c>
      <c r="G97" s="39">
        <v>13</v>
      </c>
      <c r="H97" s="39">
        <v>2115.7199999999998</v>
      </c>
      <c r="I97" s="39">
        <v>4725</v>
      </c>
      <c r="J97" s="39" t="s">
        <v>280</v>
      </c>
      <c r="K97" s="39" t="s">
        <v>281</v>
      </c>
      <c r="L97" s="39" t="s">
        <v>15</v>
      </c>
      <c r="M97" s="39">
        <v>0.59119999999999995</v>
      </c>
      <c r="N97" s="39">
        <v>0.05</v>
      </c>
      <c r="O97" s="39" t="s">
        <v>282</v>
      </c>
      <c r="P97" s="39" t="s">
        <v>283</v>
      </c>
    </row>
    <row r="98" spans="1:16" ht="30" x14ac:dyDescent="0.25">
      <c r="A98" s="38" t="s">
        <v>273</v>
      </c>
      <c r="B98" s="38" t="s">
        <v>348</v>
      </c>
      <c r="C98" s="38">
        <v>4</v>
      </c>
      <c r="D98" s="38">
        <v>3</v>
      </c>
      <c r="E98" s="38" t="s">
        <v>163</v>
      </c>
      <c r="F98" s="38" t="s">
        <v>164</v>
      </c>
      <c r="G98" s="38">
        <v>2</v>
      </c>
      <c r="H98" s="38">
        <v>8079.08</v>
      </c>
      <c r="I98" s="38">
        <v>4725</v>
      </c>
      <c r="J98" s="38" t="s">
        <v>280</v>
      </c>
      <c r="K98" s="38" t="s">
        <v>163</v>
      </c>
      <c r="L98" s="38" t="s">
        <v>349</v>
      </c>
      <c r="M98" s="38">
        <v>1.1437999999999999</v>
      </c>
      <c r="N98" s="38">
        <v>0.19</v>
      </c>
      <c r="O98" s="38" t="s">
        <v>282</v>
      </c>
      <c r="P98" s="38" t="s">
        <v>284</v>
      </c>
    </row>
    <row r="99" spans="1:16" ht="30" x14ac:dyDescent="0.25">
      <c r="A99" s="38" t="s">
        <v>273</v>
      </c>
      <c r="B99" s="38" t="s">
        <v>348</v>
      </c>
      <c r="C99" s="38">
        <v>5</v>
      </c>
      <c r="D99" s="38">
        <v>4</v>
      </c>
      <c r="E99" s="38" t="s">
        <v>14</v>
      </c>
      <c r="F99" s="38" t="s">
        <v>166</v>
      </c>
      <c r="G99" s="38">
        <v>39</v>
      </c>
      <c r="H99" s="38">
        <v>3272.13</v>
      </c>
      <c r="I99" s="38">
        <v>4508.2</v>
      </c>
      <c r="J99" s="38" t="s">
        <v>275</v>
      </c>
      <c r="K99" s="38" t="s">
        <v>14</v>
      </c>
      <c r="L99" s="38" t="s">
        <v>166</v>
      </c>
      <c r="M99" s="38">
        <v>1.2408999999999999</v>
      </c>
      <c r="N99" s="38">
        <v>0.57540000000000002</v>
      </c>
      <c r="O99" s="38" t="s">
        <v>277</v>
      </c>
      <c r="P99" s="38" t="s">
        <v>278</v>
      </c>
    </row>
    <row r="100" spans="1:16" ht="30" x14ac:dyDescent="0.25">
      <c r="A100" s="39" t="s">
        <v>279</v>
      </c>
      <c r="B100" s="39" t="s">
        <v>348</v>
      </c>
      <c r="C100" s="39">
        <v>6</v>
      </c>
      <c r="D100" s="39">
        <v>5</v>
      </c>
      <c r="E100" s="39" t="s">
        <v>168</v>
      </c>
      <c r="F100" s="39" t="s">
        <v>169</v>
      </c>
      <c r="G100" s="39">
        <v>6</v>
      </c>
      <c r="H100" s="39">
        <v>783.48</v>
      </c>
      <c r="I100" s="39">
        <v>1250</v>
      </c>
      <c r="J100" s="39" t="s">
        <v>280</v>
      </c>
      <c r="K100" s="39" t="s">
        <v>350</v>
      </c>
      <c r="L100" s="39" t="s">
        <v>351</v>
      </c>
      <c r="M100" s="39">
        <v>0.62029999999999996</v>
      </c>
      <c r="N100" s="39">
        <v>0.15570000000000001</v>
      </c>
      <c r="O100" s="39" t="s">
        <v>282</v>
      </c>
      <c r="P100" s="39" t="s">
        <v>283</v>
      </c>
    </row>
    <row r="101" spans="1:16" ht="30" x14ac:dyDescent="0.25">
      <c r="A101" s="38" t="s">
        <v>273</v>
      </c>
      <c r="B101" s="38" t="s">
        <v>348</v>
      </c>
      <c r="C101" s="38">
        <v>7</v>
      </c>
      <c r="D101" s="38">
        <v>6</v>
      </c>
      <c r="E101" s="38" t="s">
        <v>170</v>
      </c>
      <c r="F101" s="38" t="s">
        <v>171</v>
      </c>
      <c r="G101" s="38">
        <v>74</v>
      </c>
      <c r="H101" s="38">
        <v>1243.42</v>
      </c>
      <c r="I101" s="38">
        <v>2500</v>
      </c>
      <c r="J101" s="38" t="s">
        <v>285</v>
      </c>
      <c r="K101" s="38" t="s">
        <v>170</v>
      </c>
      <c r="L101" s="38" t="s">
        <v>171</v>
      </c>
      <c r="M101" s="38">
        <v>1.2278</v>
      </c>
      <c r="N101" s="38">
        <v>0.87749999999999995</v>
      </c>
      <c r="O101" s="38" t="s">
        <v>282</v>
      </c>
      <c r="P101" s="38" t="s">
        <v>284</v>
      </c>
    </row>
    <row r="102" spans="1:16" ht="30" x14ac:dyDescent="0.25">
      <c r="A102" s="38" t="s">
        <v>273</v>
      </c>
      <c r="B102" s="38" t="s">
        <v>348</v>
      </c>
      <c r="C102" s="38">
        <v>8</v>
      </c>
      <c r="D102" s="38">
        <v>7</v>
      </c>
      <c r="E102" s="38" t="s">
        <v>35</v>
      </c>
      <c r="F102" s="38" t="s">
        <v>36</v>
      </c>
      <c r="G102" s="38">
        <v>5</v>
      </c>
      <c r="H102" s="38">
        <v>28138.81</v>
      </c>
      <c r="I102" s="38">
        <v>15000</v>
      </c>
      <c r="J102" s="38" t="s">
        <v>280</v>
      </c>
      <c r="K102" s="38" t="s">
        <v>35</v>
      </c>
      <c r="L102" s="38" t="s">
        <v>36</v>
      </c>
      <c r="M102" s="38">
        <v>1.2278</v>
      </c>
      <c r="N102" s="38">
        <v>0.3987</v>
      </c>
      <c r="O102" s="38" t="s">
        <v>282</v>
      </c>
      <c r="P102" s="38" t="s">
        <v>284</v>
      </c>
    </row>
    <row r="103" spans="1:16" ht="30" x14ac:dyDescent="0.25">
      <c r="A103" s="39" t="s">
        <v>279</v>
      </c>
      <c r="B103" s="39" t="s">
        <v>348</v>
      </c>
      <c r="C103" s="39">
        <v>9</v>
      </c>
      <c r="D103" s="39">
        <v>8</v>
      </c>
      <c r="E103" s="39" t="s">
        <v>38</v>
      </c>
      <c r="F103" s="39" t="s">
        <v>173</v>
      </c>
      <c r="G103" s="39">
        <v>1</v>
      </c>
      <c r="H103" s="39">
        <v>13825.16</v>
      </c>
      <c r="I103" s="39">
        <v>5500</v>
      </c>
      <c r="J103" s="39" t="s">
        <v>285</v>
      </c>
      <c r="K103" s="39" t="s">
        <v>296</v>
      </c>
      <c r="L103" s="39" t="s">
        <v>39</v>
      </c>
      <c r="M103" s="39">
        <v>0.57279999999999998</v>
      </c>
      <c r="N103" s="39">
        <v>0</v>
      </c>
      <c r="O103" s="39" t="s">
        <v>282</v>
      </c>
      <c r="P103" s="39" t="s">
        <v>283</v>
      </c>
    </row>
    <row r="104" spans="1:16" ht="45" x14ac:dyDescent="0.25">
      <c r="A104" s="39" t="s">
        <v>279</v>
      </c>
      <c r="B104" s="39" t="s">
        <v>348</v>
      </c>
      <c r="C104" s="39">
        <v>10</v>
      </c>
      <c r="D104" s="39">
        <v>9</v>
      </c>
      <c r="E104" s="39" t="s">
        <v>174</v>
      </c>
      <c r="F104" s="39" t="s">
        <v>175</v>
      </c>
      <c r="G104" s="39">
        <v>12</v>
      </c>
      <c r="H104" s="39">
        <v>1062.3</v>
      </c>
      <c r="I104" s="39">
        <v>2049.1799999999998</v>
      </c>
      <c r="J104" s="39" t="s">
        <v>291</v>
      </c>
      <c r="K104" s="39" t="s">
        <v>352</v>
      </c>
      <c r="L104" s="39" t="s">
        <v>353</v>
      </c>
      <c r="M104" s="39">
        <v>0.14949999999999999</v>
      </c>
      <c r="N104" s="39">
        <v>8.9999999999999993E-3</v>
      </c>
      <c r="O104" s="39" t="s">
        <v>277</v>
      </c>
      <c r="P104" s="39" t="s">
        <v>283</v>
      </c>
    </row>
    <row r="105" spans="1:16" ht="30" x14ac:dyDescent="0.25">
      <c r="A105" s="39" t="s">
        <v>279</v>
      </c>
      <c r="B105" s="39" t="s">
        <v>348</v>
      </c>
      <c r="C105" s="39">
        <v>11</v>
      </c>
      <c r="D105" s="39">
        <v>10</v>
      </c>
      <c r="E105" s="39" t="s">
        <v>177</v>
      </c>
      <c r="F105" s="39" t="s">
        <v>178</v>
      </c>
      <c r="G105" s="39">
        <v>12</v>
      </c>
      <c r="H105" s="39">
        <v>1044.26</v>
      </c>
      <c r="I105" s="39">
        <v>1024.5899999999999</v>
      </c>
      <c r="J105" s="39" t="s">
        <v>275</v>
      </c>
      <c r="K105" s="39" t="s">
        <v>354</v>
      </c>
      <c r="L105" s="39" t="s">
        <v>355</v>
      </c>
      <c r="M105" s="39">
        <v>0.18</v>
      </c>
      <c r="N105" s="39">
        <v>7.4000000000000003E-3</v>
      </c>
      <c r="O105" s="39" t="s">
        <v>277</v>
      </c>
      <c r="P105" s="39" t="s">
        <v>283</v>
      </c>
    </row>
    <row r="106" spans="1:16" ht="30" x14ac:dyDescent="0.25">
      <c r="A106" s="39" t="s">
        <v>279</v>
      </c>
      <c r="B106" s="39" t="s">
        <v>348</v>
      </c>
      <c r="C106" s="39">
        <v>12</v>
      </c>
      <c r="D106" s="39">
        <v>11</v>
      </c>
      <c r="E106" s="39" t="s">
        <v>60</v>
      </c>
      <c r="F106" s="39"/>
      <c r="G106" s="39">
        <v>1</v>
      </c>
      <c r="H106" s="39">
        <v>2310</v>
      </c>
      <c r="I106" s="39"/>
      <c r="J106" s="39" t="s">
        <v>303</v>
      </c>
      <c r="K106" s="39" t="s">
        <v>304</v>
      </c>
      <c r="L106" s="39" t="s">
        <v>305</v>
      </c>
      <c r="M106" s="39">
        <v>0.4859</v>
      </c>
      <c r="N106" s="39">
        <v>0.2001</v>
      </c>
      <c r="O106" s="39" t="s">
        <v>282</v>
      </c>
      <c r="P106" s="39" t="s">
        <v>283</v>
      </c>
    </row>
    <row r="107" spans="1:16" ht="30" x14ac:dyDescent="0.25">
      <c r="A107" s="38" t="s">
        <v>273</v>
      </c>
      <c r="B107" s="38" t="s">
        <v>348</v>
      </c>
      <c r="C107" s="38">
        <v>13</v>
      </c>
      <c r="D107" s="38">
        <v>12</v>
      </c>
      <c r="E107" s="38" t="s">
        <v>62</v>
      </c>
      <c r="F107" s="38"/>
      <c r="G107" s="38">
        <v>10</v>
      </c>
      <c r="H107" s="38">
        <v>2310</v>
      </c>
      <c r="I107" s="38"/>
      <c r="J107" s="38" t="s">
        <v>303</v>
      </c>
      <c r="K107" s="38" t="s">
        <v>304</v>
      </c>
      <c r="L107" s="38" t="s">
        <v>305</v>
      </c>
      <c r="M107" s="38">
        <v>0.54900000000000004</v>
      </c>
      <c r="N107" s="38">
        <v>0.2681</v>
      </c>
      <c r="O107" s="38" t="s">
        <v>282</v>
      </c>
      <c r="P107" s="38" t="s">
        <v>284</v>
      </c>
    </row>
    <row r="108" spans="1:16" ht="75" x14ac:dyDescent="0.25">
      <c r="A108" s="39" t="s">
        <v>279</v>
      </c>
      <c r="B108" s="39" t="s">
        <v>348</v>
      </c>
      <c r="C108" s="39">
        <v>14</v>
      </c>
      <c r="D108" s="39">
        <v>13</v>
      </c>
      <c r="E108" s="39" t="s">
        <v>65</v>
      </c>
      <c r="F108" s="39" t="s">
        <v>66</v>
      </c>
      <c r="G108" s="39">
        <v>7200</v>
      </c>
      <c r="H108" s="39">
        <v>25.96</v>
      </c>
      <c r="I108" s="39"/>
      <c r="J108" s="39" t="s">
        <v>291</v>
      </c>
      <c r="K108" s="39" t="s">
        <v>306</v>
      </c>
      <c r="L108" s="39" t="s">
        <v>307</v>
      </c>
      <c r="M108" s="39">
        <v>0.2949</v>
      </c>
      <c r="N108" s="39">
        <v>7.3700000000000002E-2</v>
      </c>
      <c r="O108" s="39" t="s">
        <v>277</v>
      </c>
      <c r="P108" s="39" t="s">
        <v>283</v>
      </c>
    </row>
    <row r="109" spans="1:16" ht="30" x14ac:dyDescent="0.25">
      <c r="A109" s="39" t="s">
        <v>279</v>
      </c>
      <c r="B109" s="39" t="s">
        <v>348</v>
      </c>
      <c r="C109" s="39">
        <v>15</v>
      </c>
      <c r="D109" s="39">
        <v>14</v>
      </c>
      <c r="E109" s="39" t="s">
        <v>73</v>
      </c>
      <c r="F109" s="39" t="s">
        <v>74</v>
      </c>
      <c r="G109" s="39">
        <v>7200</v>
      </c>
      <c r="H109" s="39">
        <v>29.32</v>
      </c>
      <c r="I109" s="39">
        <v>0</v>
      </c>
      <c r="J109" s="39" t="s">
        <v>280</v>
      </c>
      <c r="K109" s="39" t="s">
        <v>310</v>
      </c>
      <c r="L109" s="39" t="s">
        <v>311</v>
      </c>
      <c r="M109" s="39">
        <v>0.42870000000000003</v>
      </c>
      <c r="N109" s="39">
        <v>0.1447</v>
      </c>
      <c r="O109" s="39" t="s">
        <v>282</v>
      </c>
      <c r="P109" s="39" t="s">
        <v>283</v>
      </c>
    </row>
    <row r="110" spans="1:16" ht="30" x14ac:dyDescent="0.25">
      <c r="A110" s="39" t="s">
        <v>279</v>
      </c>
      <c r="B110" s="39" t="s">
        <v>348</v>
      </c>
      <c r="C110" s="39">
        <v>16</v>
      </c>
      <c r="D110" s="39">
        <v>15</v>
      </c>
      <c r="E110" s="39" t="s">
        <v>76</v>
      </c>
      <c r="F110" s="39" t="s">
        <v>77</v>
      </c>
      <c r="G110" s="39">
        <v>217</v>
      </c>
      <c r="H110" s="39">
        <v>4.3099999999999996</v>
      </c>
      <c r="I110" s="39">
        <v>8.1999999999999993</v>
      </c>
      <c r="J110" s="39" t="s">
        <v>291</v>
      </c>
      <c r="K110" s="39" t="s">
        <v>312</v>
      </c>
      <c r="L110" s="39" t="s">
        <v>313</v>
      </c>
      <c r="M110" s="39">
        <v>0.26629999999999998</v>
      </c>
      <c r="N110" s="39">
        <v>3.3599999999999998E-2</v>
      </c>
      <c r="O110" s="39" t="s">
        <v>277</v>
      </c>
      <c r="P110" s="39" t="s">
        <v>283</v>
      </c>
    </row>
    <row r="111" spans="1:16" ht="30" x14ac:dyDescent="0.25">
      <c r="A111" s="39" t="s">
        <v>279</v>
      </c>
      <c r="B111" s="39" t="s">
        <v>348</v>
      </c>
      <c r="C111" s="39">
        <v>18</v>
      </c>
      <c r="D111" s="39">
        <v>1</v>
      </c>
      <c r="E111" s="39" t="s">
        <v>148</v>
      </c>
      <c r="F111" s="39" t="s">
        <v>149</v>
      </c>
      <c r="G111" s="39">
        <v>1</v>
      </c>
      <c r="H111" s="39"/>
      <c r="I111" s="39"/>
      <c r="J111" s="39" t="s">
        <v>291</v>
      </c>
      <c r="K111" s="39" t="s">
        <v>347</v>
      </c>
      <c r="L111" s="39"/>
      <c r="M111" s="39">
        <v>0.32500000000000001</v>
      </c>
      <c r="N111" s="39">
        <v>0.1918</v>
      </c>
      <c r="O111" s="39" t="s">
        <v>277</v>
      </c>
      <c r="P111" s="39" t="s">
        <v>283</v>
      </c>
    </row>
    <row r="112" spans="1:16" ht="30" x14ac:dyDescent="0.25">
      <c r="A112" s="39" t="s">
        <v>279</v>
      </c>
      <c r="B112" s="39" t="s">
        <v>348</v>
      </c>
      <c r="C112" s="39">
        <v>19</v>
      </c>
      <c r="D112" s="39">
        <v>2</v>
      </c>
      <c r="E112" s="39" t="s">
        <v>150</v>
      </c>
      <c r="F112" s="39"/>
      <c r="G112" s="39">
        <v>1</v>
      </c>
      <c r="H112" s="39">
        <v>48688.31</v>
      </c>
      <c r="I112" s="39"/>
      <c r="J112" s="39" t="s">
        <v>285</v>
      </c>
      <c r="K112" s="39" t="s">
        <v>150</v>
      </c>
      <c r="L112" s="39"/>
      <c r="M112" s="39">
        <v>0.6</v>
      </c>
      <c r="N112" s="39">
        <v>0</v>
      </c>
      <c r="O112" s="39" t="s">
        <v>282</v>
      </c>
      <c r="P112" s="39" t="s">
        <v>283</v>
      </c>
    </row>
    <row r="113" spans="1:16" ht="30" x14ac:dyDescent="0.25">
      <c r="A113" s="39" t="s">
        <v>279</v>
      </c>
      <c r="B113" s="39" t="s">
        <v>348</v>
      </c>
      <c r="C113" s="39">
        <v>20</v>
      </c>
      <c r="D113" s="39">
        <v>3</v>
      </c>
      <c r="E113" s="39" t="s">
        <v>151</v>
      </c>
      <c r="F113" s="39"/>
      <c r="G113" s="39">
        <v>1</v>
      </c>
      <c r="H113" s="39">
        <v>32458.87</v>
      </c>
      <c r="I113" s="39"/>
      <c r="J113" s="39" t="s">
        <v>285</v>
      </c>
      <c r="K113" s="39" t="s">
        <v>151</v>
      </c>
      <c r="L113" s="39"/>
      <c r="M113" s="39">
        <v>0.6</v>
      </c>
      <c r="N113" s="39">
        <v>0</v>
      </c>
      <c r="O113" s="39" t="s">
        <v>282</v>
      </c>
      <c r="P113" s="39" t="s">
        <v>283</v>
      </c>
    </row>
    <row r="114" spans="1:16" ht="30" x14ac:dyDescent="0.25">
      <c r="A114" s="39" t="s">
        <v>279</v>
      </c>
      <c r="B114" s="39" t="s">
        <v>348</v>
      </c>
      <c r="C114" s="39">
        <v>21</v>
      </c>
      <c r="D114" s="39">
        <v>4</v>
      </c>
      <c r="E114" s="39" t="s">
        <v>152</v>
      </c>
      <c r="F114" s="39"/>
      <c r="G114" s="39">
        <v>1</v>
      </c>
      <c r="H114" s="39">
        <v>71694</v>
      </c>
      <c r="I114" s="39"/>
      <c r="J114" s="39" t="s">
        <v>285</v>
      </c>
      <c r="K114" s="39" t="s">
        <v>152</v>
      </c>
      <c r="L114" s="39"/>
      <c r="M114" s="39">
        <v>0.6</v>
      </c>
      <c r="N114" s="39">
        <v>0</v>
      </c>
      <c r="O114" s="39" t="s">
        <v>282</v>
      </c>
      <c r="P114" s="39" t="s">
        <v>283</v>
      </c>
    </row>
    <row r="115" spans="1:16" ht="30" x14ac:dyDescent="0.25">
      <c r="A115" s="39" t="s">
        <v>279</v>
      </c>
      <c r="B115" s="39" t="s">
        <v>348</v>
      </c>
      <c r="C115" s="39">
        <v>22</v>
      </c>
      <c r="D115" s="39">
        <v>5</v>
      </c>
      <c r="E115" s="39" t="s">
        <v>153</v>
      </c>
      <c r="F115" s="39"/>
      <c r="G115" s="39">
        <v>1</v>
      </c>
      <c r="H115" s="39">
        <v>56356.87</v>
      </c>
      <c r="I115" s="39"/>
      <c r="J115" s="39" t="s">
        <v>285</v>
      </c>
      <c r="K115" s="39" t="s">
        <v>153</v>
      </c>
      <c r="L115" s="39"/>
      <c r="M115" s="39">
        <v>0.6</v>
      </c>
      <c r="N115" s="39">
        <v>0</v>
      </c>
      <c r="O115" s="39" t="s">
        <v>282</v>
      </c>
      <c r="P115" s="39" t="s">
        <v>283</v>
      </c>
    </row>
    <row r="116" spans="1:16" ht="30" x14ac:dyDescent="0.25">
      <c r="A116" s="39" t="s">
        <v>279</v>
      </c>
      <c r="B116" s="39" t="s">
        <v>348</v>
      </c>
      <c r="C116" s="39">
        <v>23</v>
      </c>
      <c r="D116" s="39">
        <v>6</v>
      </c>
      <c r="E116" s="39" t="s">
        <v>154</v>
      </c>
      <c r="F116" s="39"/>
      <c r="G116" s="39">
        <v>1</v>
      </c>
      <c r="H116" s="39"/>
      <c r="I116" s="39"/>
      <c r="J116" s="39" t="s">
        <v>285</v>
      </c>
      <c r="K116" s="39" t="s">
        <v>316</v>
      </c>
      <c r="L116" s="39"/>
      <c r="M116" s="39">
        <v>0.6</v>
      </c>
      <c r="N116" s="39">
        <v>0</v>
      </c>
      <c r="O116" s="39" t="s">
        <v>282</v>
      </c>
      <c r="P116" s="39" t="s">
        <v>283</v>
      </c>
    </row>
    <row r="117" spans="1:16" ht="30" x14ac:dyDescent="0.25">
      <c r="A117" s="39" t="s">
        <v>279</v>
      </c>
      <c r="B117" s="39" t="s">
        <v>348</v>
      </c>
      <c r="C117" s="39">
        <v>24</v>
      </c>
      <c r="D117" s="39">
        <v>7</v>
      </c>
      <c r="E117" s="39" t="s">
        <v>155</v>
      </c>
      <c r="F117" s="39"/>
      <c r="G117" s="39"/>
      <c r="H117" s="39"/>
      <c r="I117" s="39"/>
      <c r="J117" s="39" t="s">
        <v>285</v>
      </c>
      <c r="K117" s="39" t="s">
        <v>155</v>
      </c>
      <c r="L117" s="39"/>
      <c r="M117" s="39">
        <v>0.56999999999999995</v>
      </c>
      <c r="N117" s="39">
        <v>0</v>
      </c>
      <c r="O117" s="39" t="s">
        <v>282</v>
      </c>
      <c r="P117" s="39" t="s">
        <v>283</v>
      </c>
    </row>
    <row r="118" spans="1:16" ht="60" x14ac:dyDescent="0.25">
      <c r="A118" s="39" t="s">
        <v>279</v>
      </c>
      <c r="B118" s="39" t="s">
        <v>356</v>
      </c>
      <c r="C118" s="39">
        <v>2</v>
      </c>
      <c r="D118" s="39">
        <v>1</v>
      </c>
      <c r="E118" s="39" t="s">
        <v>181</v>
      </c>
      <c r="F118" s="39" t="s">
        <v>182</v>
      </c>
      <c r="G118" s="39">
        <v>1218</v>
      </c>
      <c r="H118" s="39">
        <v>10997.32</v>
      </c>
      <c r="I118" s="39">
        <v>5500</v>
      </c>
      <c r="J118" s="39" t="s">
        <v>303</v>
      </c>
      <c r="K118" s="39" t="s">
        <v>357</v>
      </c>
      <c r="L118" s="39" t="s">
        <v>358</v>
      </c>
      <c r="M118" s="39">
        <v>0.25340000000000001</v>
      </c>
      <c r="N118" s="39">
        <v>0.1172</v>
      </c>
      <c r="O118" s="39" t="s">
        <v>282</v>
      </c>
      <c r="P118" s="39" t="s">
        <v>283</v>
      </c>
    </row>
    <row r="119" spans="1:16" ht="30" x14ac:dyDescent="0.25">
      <c r="A119" s="39" t="s">
        <v>279</v>
      </c>
      <c r="B119" s="39" t="s">
        <v>356</v>
      </c>
      <c r="C119" s="39">
        <v>3</v>
      </c>
      <c r="D119" s="39">
        <v>2</v>
      </c>
      <c r="E119" s="39" t="s">
        <v>183</v>
      </c>
      <c r="F119" s="39" t="s">
        <v>184</v>
      </c>
      <c r="G119" s="39">
        <v>1230</v>
      </c>
      <c r="H119" s="39">
        <v>29.32</v>
      </c>
      <c r="I119" s="39">
        <v>0</v>
      </c>
      <c r="J119" s="39" t="s">
        <v>280</v>
      </c>
      <c r="K119" s="39" t="s">
        <v>310</v>
      </c>
      <c r="L119" s="39" t="s">
        <v>311</v>
      </c>
      <c r="M119" s="39">
        <v>0.1767</v>
      </c>
      <c r="N119" s="39">
        <v>3.5000000000000001E-3</v>
      </c>
      <c r="O119" s="39" t="s">
        <v>282</v>
      </c>
      <c r="P119" s="39" t="s">
        <v>283</v>
      </c>
    </row>
    <row r="120" spans="1:16" ht="30" x14ac:dyDescent="0.25">
      <c r="A120" s="39" t="s">
        <v>279</v>
      </c>
      <c r="B120" s="39" t="s">
        <v>356</v>
      </c>
      <c r="C120" s="39">
        <v>4</v>
      </c>
      <c r="D120" s="39">
        <v>3</v>
      </c>
      <c r="E120" s="39" t="s">
        <v>186</v>
      </c>
      <c r="F120" s="39" t="s">
        <v>184</v>
      </c>
      <c r="G120" s="39">
        <v>165</v>
      </c>
      <c r="H120" s="39">
        <v>29.32</v>
      </c>
      <c r="I120" s="39">
        <v>0</v>
      </c>
      <c r="J120" s="39" t="s">
        <v>280</v>
      </c>
      <c r="K120" s="39" t="s">
        <v>310</v>
      </c>
      <c r="L120" s="39" t="s">
        <v>311</v>
      </c>
      <c r="M120" s="39">
        <v>0.1767</v>
      </c>
      <c r="N120" s="39">
        <v>3.5000000000000001E-3</v>
      </c>
      <c r="O120" s="39" t="s">
        <v>282</v>
      </c>
      <c r="P120" s="39" t="s">
        <v>283</v>
      </c>
    </row>
    <row r="121" spans="1:16" ht="30" x14ac:dyDescent="0.25">
      <c r="A121" s="39" t="s">
        <v>279</v>
      </c>
      <c r="B121" s="39" t="s">
        <v>356</v>
      </c>
      <c r="C121" s="39">
        <v>5</v>
      </c>
      <c r="D121" s="39">
        <v>4</v>
      </c>
      <c r="E121" s="39" t="s">
        <v>187</v>
      </c>
      <c r="F121" s="39" t="s">
        <v>188</v>
      </c>
      <c r="G121" s="39">
        <v>3325</v>
      </c>
      <c r="H121" s="39">
        <v>121.86</v>
      </c>
      <c r="I121" s="39">
        <v>0</v>
      </c>
      <c r="J121" s="39" t="s">
        <v>303</v>
      </c>
      <c r="K121" s="39" t="s">
        <v>338</v>
      </c>
      <c r="L121" s="39" t="s">
        <v>339</v>
      </c>
      <c r="M121" s="39">
        <v>0.17050000000000001</v>
      </c>
      <c r="N121" s="39">
        <v>1.4E-3</v>
      </c>
      <c r="O121" s="39" t="s">
        <v>282</v>
      </c>
      <c r="P121" s="39" t="s">
        <v>283</v>
      </c>
    </row>
    <row r="122" spans="1:16" ht="30" x14ac:dyDescent="0.25">
      <c r="A122" s="39" t="s">
        <v>279</v>
      </c>
      <c r="B122" s="39" t="s">
        <v>356</v>
      </c>
      <c r="C122" s="39">
        <v>6</v>
      </c>
      <c r="D122" s="39">
        <v>5</v>
      </c>
      <c r="E122" s="39" t="s">
        <v>189</v>
      </c>
      <c r="F122" s="39" t="s">
        <v>190</v>
      </c>
      <c r="G122" s="39">
        <v>1206</v>
      </c>
      <c r="H122" s="39">
        <v>99100</v>
      </c>
      <c r="I122" s="39">
        <v>50000</v>
      </c>
      <c r="J122" s="39" t="s">
        <v>303</v>
      </c>
      <c r="K122" s="39" t="s">
        <v>359</v>
      </c>
      <c r="L122" s="39" t="s">
        <v>360</v>
      </c>
      <c r="M122" s="39">
        <v>0.15090000000000001</v>
      </c>
      <c r="N122" s="39">
        <v>1.2999999999999999E-3</v>
      </c>
      <c r="O122" s="39" t="s">
        <v>282</v>
      </c>
      <c r="P122" s="39" t="s">
        <v>283</v>
      </c>
    </row>
    <row r="123" spans="1:16" ht="30" x14ac:dyDescent="0.25">
      <c r="A123" s="39" t="s">
        <v>279</v>
      </c>
      <c r="B123" s="39" t="s">
        <v>356</v>
      </c>
      <c r="C123" s="39">
        <v>7</v>
      </c>
      <c r="D123" s="39">
        <v>6</v>
      </c>
      <c r="E123" s="39" t="s">
        <v>193</v>
      </c>
      <c r="F123" s="39" t="s">
        <v>190</v>
      </c>
      <c r="G123" s="39">
        <v>12</v>
      </c>
      <c r="H123" s="39">
        <v>81320</v>
      </c>
      <c r="I123" s="39">
        <v>15000</v>
      </c>
      <c r="J123" s="39" t="s">
        <v>298</v>
      </c>
      <c r="K123" s="39" t="s">
        <v>299</v>
      </c>
      <c r="L123" s="39" t="s">
        <v>300</v>
      </c>
      <c r="M123" s="39">
        <v>0.1444</v>
      </c>
      <c r="N123" s="39">
        <v>6.1999999999999998E-3</v>
      </c>
      <c r="O123" s="39" t="s">
        <v>282</v>
      </c>
      <c r="P123" s="39" t="s">
        <v>283</v>
      </c>
    </row>
    <row r="124" spans="1:16" ht="30" x14ac:dyDescent="0.25">
      <c r="A124" s="39" t="s">
        <v>279</v>
      </c>
      <c r="B124" s="39" t="s">
        <v>356</v>
      </c>
      <c r="C124" s="39">
        <v>8</v>
      </c>
      <c r="D124" s="39">
        <v>7</v>
      </c>
      <c r="E124" s="39" t="s">
        <v>194</v>
      </c>
      <c r="F124" s="39" t="s">
        <v>195</v>
      </c>
      <c r="G124" s="39">
        <v>165</v>
      </c>
      <c r="H124" s="39">
        <v>43585</v>
      </c>
      <c r="I124" s="39">
        <v>4300</v>
      </c>
      <c r="J124" s="39" t="s">
        <v>342</v>
      </c>
      <c r="K124" s="39" t="s">
        <v>361</v>
      </c>
      <c r="L124" s="39" t="s">
        <v>361</v>
      </c>
      <c r="M124" s="39">
        <v>0.1958</v>
      </c>
      <c r="N124" s="39">
        <v>1.2800000000000001E-2</v>
      </c>
      <c r="O124" s="39" t="s">
        <v>282</v>
      </c>
      <c r="P124" s="39" t="s">
        <v>283</v>
      </c>
    </row>
    <row r="125" spans="1:16" ht="30" x14ac:dyDescent="0.25">
      <c r="A125" s="39" t="s">
        <v>279</v>
      </c>
      <c r="B125" s="39" t="s">
        <v>356</v>
      </c>
      <c r="C125" s="39">
        <v>9</v>
      </c>
      <c r="D125" s="39">
        <v>8</v>
      </c>
      <c r="E125" s="39" t="s">
        <v>196</v>
      </c>
      <c r="F125" s="39" t="s">
        <v>197</v>
      </c>
      <c r="G125" s="39">
        <v>165</v>
      </c>
      <c r="H125" s="39">
        <v>400</v>
      </c>
      <c r="I125" s="39">
        <v>100</v>
      </c>
      <c r="J125" s="39" t="s">
        <v>298</v>
      </c>
      <c r="K125" s="39" t="s">
        <v>362</v>
      </c>
      <c r="L125" s="39" t="s">
        <v>305</v>
      </c>
      <c r="M125" s="39">
        <v>0.16070000000000001</v>
      </c>
      <c r="N125" s="39">
        <v>6.7999999999999996E-3</v>
      </c>
      <c r="O125" s="39" t="s">
        <v>282</v>
      </c>
      <c r="P125" s="39" t="s">
        <v>283</v>
      </c>
    </row>
    <row r="126" spans="1:16" ht="30" x14ac:dyDescent="0.25">
      <c r="A126" s="39" t="s">
        <v>279</v>
      </c>
      <c r="B126" s="39" t="s">
        <v>356</v>
      </c>
      <c r="C126" s="39">
        <v>10</v>
      </c>
      <c r="D126" s="39">
        <v>9</v>
      </c>
      <c r="E126" s="39" t="s">
        <v>196</v>
      </c>
      <c r="F126" s="39" t="s">
        <v>198</v>
      </c>
      <c r="G126" s="39">
        <v>61</v>
      </c>
      <c r="H126" s="39">
        <v>400</v>
      </c>
      <c r="I126" s="39">
        <v>100</v>
      </c>
      <c r="J126" s="39" t="s">
        <v>298</v>
      </c>
      <c r="K126" s="39" t="s">
        <v>362</v>
      </c>
      <c r="L126" s="39" t="s">
        <v>305</v>
      </c>
      <c r="M126" s="39">
        <v>0.16070000000000001</v>
      </c>
      <c r="N126" s="39">
        <v>6.7999999999999996E-3</v>
      </c>
      <c r="O126" s="39" t="s">
        <v>282</v>
      </c>
      <c r="P126" s="39" t="s">
        <v>283</v>
      </c>
    </row>
    <row r="127" spans="1:16" ht="30" x14ac:dyDescent="0.25">
      <c r="A127" s="39" t="s">
        <v>279</v>
      </c>
      <c r="B127" s="39" t="s">
        <v>356</v>
      </c>
      <c r="C127" s="39">
        <v>11</v>
      </c>
      <c r="D127" s="39">
        <v>10</v>
      </c>
      <c r="E127" s="39" t="s">
        <v>199</v>
      </c>
      <c r="F127" s="39" t="s">
        <v>200</v>
      </c>
      <c r="G127" s="39">
        <v>51</v>
      </c>
      <c r="H127" s="39">
        <v>1138.5</v>
      </c>
      <c r="I127" s="39">
        <v>1500</v>
      </c>
      <c r="J127" s="39" t="s">
        <v>342</v>
      </c>
      <c r="K127" s="39" t="s">
        <v>363</v>
      </c>
      <c r="L127" s="39" t="s">
        <v>364</v>
      </c>
      <c r="M127" s="39">
        <v>0.1618</v>
      </c>
      <c r="N127" s="39">
        <v>8.6999999999999994E-3</v>
      </c>
      <c r="O127" s="39" t="s">
        <v>282</v>
      </c>
      <c r="P127" s="39" t="s">
        <v>283</v>
      </c>
    </row>
    <row r="128" spans="1:16" ht="30" x14ac:dyDescent="0.25">
      <c r="A128" s="39" t="s">
        <v>279</v>
      </c>
      <c r="B128" s="39" t="s">
        <v>356</v>
      </c>
      <c r="C128" s="39">
        <v>12</v>
      </c>
      <c r="D128" s="39">
        <v>11</v>
      </c>
      <c r="E128" s="39" t="s">
        <v>201</v>
      </c>
      <c r="F128" s="39" t="s">
        <v>202</v>
      </c>
      <c r="G128" s="39">
        <v>10</v>
      </c>
      <c r="H128" s="39">
        <v>3.64</v>
      </c>
      <c r="I128" s="39">
        <v>50</v>
      </c>
      <c r="J128" s="39" t="s">
        <v>342</v>
      </c>
      <c r="K128" s="39" t="s">
        <v>365</v>
      </c>
      <c r="L128" s="39" t="s">
        <v>366</v>
      </c>
      <c r="M128" s="39">
        <v>0.1537</v>
      </c>
      <c r="N128" s="39">
        <v>6.4999999999999997E-3</v>
      </c>
      <c r="O128" s="39" t="s">
        <v>282</v>
      </c>
      <c r="P128" s="39" t="s">
        <v>283</v>
      </c>
    </row>
    <row r="129" spans="1:16" ht="30" x14ac:dyDescent="0.25">
      <c r="A129" s="39" t="s">
        <v>279</v>
      </c>
      <c r="B129" s="39" t="s">
        <v>356</v>
      </c>
      <c r="C129" s="39">
        <v>13</v>
      </c>
      <c r="D129" s="39">
        <v>12</v>
      </c>
      <c r="E129" s="39" t="s">
        <v>201</v>
      </c>
      <c r="F129" s="39" t="s">
        <v>203</v>
      </c>
      <c r="G129" s="39">
        <v>63</v>
      </c>
      <c r="H129" s="39">
        <v>3.64</v>
      </c>
      <c r="I129" s="39">
        <v>50</v>
      </c>
      <c r="J129" s="39" t="s">
        <v>342</v>
      </c>
      <c r="K129" s="39" t="s">
        <v>365</v>
      </c>
      <c r="L129" s="39" t="s">
        <v>366</v>
      </c>
      <c r="M129" s="39">
        <v>0.1537</v>
      </c>
      <c r="N129" s="39">
        <v>6.4999999999999997E-3</v>
      </c>
      <c r="O129" s="39" t="s">
        <v>282</v>
      </c>
      <c r="P129" s="39" t="s">
        <v>283</v>
      </c>
    </row>
    <row r="130" spans="1:16" ht="30" x14ac:dyDescent="0.25">
      <c r="A130" s="39" t="s">
        <v>279</v>
      </c>
      <c r="B130" s="39" t="s">
        <v>356</v>
      </c>
      <c r="C130" s="39">
        <v>14</v>
      </c>
      <c r="D130" s="39">
        <v>13</v>
      </c>
      <c r="E130" s="39" t="s">
        <v>204</v>
      </c>
      <c r="F130" s="39" t="s">
        <v>202</v>
      </c>
      <c r="G130" s="39">
        <v>677</v>
      </c>
      <c r="H130" s="39">
        <v>400</v>
      </c>
      <c r="I130" s="39">
        <v>100</v>
      </c>
      <c r="J130" s="39" t="s">
        <v>298</v>
      </c>
      <c r="K130" s="39" t="s">
        <v>362</v>
      </c>
      <c r="L130" s="39" t="s">
        <v>305</v>
      </c>
      <c r="M130" s="39">
        <v>0.13800000000000001</v>
      </c>
      <c r="N130" s="39">
        <v>8.9999999999999998E-4</v>
      </c>
      <c r="O130" s="39" t="s">
        <v>282</v>
      </c>
      <c r="P130" s="39" t="s">
        <v>283</v>
      </c>
    </row>
    <row r="131" spans="1:16" ht="30" x14ac:dyDescent="0.25">
      <c r="A131" s="39" t="s">
        <v>279</v>
      </c>
      <c r="B131" s="39" t="s">
        <v>356</v>
      </c>
      <c r="C131" s="39">
        <v>15</v>
      </c>
      <c r="D131" s="39">
        <v>14</v>
      </c>
      <c r="E131" s="39" t="s">
        <v>204</v>
      </c>
      <c r="F131" s="39" t="s">
        <v>205</v>
      </c>
      <c r="G131" s="39">
        <v>330</v>
      </c>
      <c r="H131" s="39">
        <v>400</v>
      </c>
      <c r="I131" s="39">
        <v>100</v>
      </c>
      <c r="J131" s="39" t="s">
        <v>298</v>
      </c>
      <c r="K131" s="39" t="s">
        <v>362</v>
      </c>
      <c r="L131" s="39" t="s">
        <v>305</v>
      </c>
      <c r="M131" s="39">
        <v>0.13800000000000001</v>
      </c>
      <c r="N131" s="39">
        <v>8.9999999999999998E-4</v>
      </c>
      <c r="O131" s="39" t="s">
        <v>282</v>
      </c>
      <c r="P131" s="39" t="s">
        <v>283</v>
      </c>
    </row>
    <row r="132" spans="1:16" ht="30" x14ac:dyDescent="0.25">
      <c r="A132" s="39" t="s">
        <v>279</v>
      </c>
      <c r="B132" s="39" t="s">
        <v>356</v>
      </c>
      <c r="C132" s="39">
        <v>16</v>
      </c>
      <c r="D132" s="39">
        <v>15</v>
      </c>
      <c r="E132" s="39" t="s">
        <v>204</v>
      </c>
      <c r="F132" s="39" t="s">
        <v>203</v>
      </c>
      <c r="G132" s="39">
        <v>974</v>
      </c>
      <c r="H132" s="39">
        <v>400</v>
      </c>
      <c r="I132" s="39">
        <v>100</v>
      </c>
      <c r="J132" s="39" t="s">
        <v>298</v>
      </c>
      <c r="K132" s="39" t="s">
        <v>362</v>
      </c>
      <c r="L132" s="39" t="s">
        <v>305</v>
      </c>
      <c r="M132" s="39">
        <v>0.13800000000000001</v>
      </c>
      <c r="N132" s="39">
        <v>8.9999999999999998E-4</v>
      </c>
      <c r="O132" s="39" t="s">
        <v>282</v>
      </c>
      <c r="P132" s="39" t="s">
        <v>283</v>
      </c>
    </row>
    <row r="133" spans="1:16" ht="30" x14ac:dyDescent="0.25">
      <c r="A133" s="39" t="s">
        <v>279</v>
      </c>
      <c r="B133" s="39" t="s">
        <v>356</v>
      </c>
      <c r="C133" s="39">
        <v>17</v>
      </c>
      <c r="D133" s="39">
        <v>16</v>
      </c>
      <c r="E133" s="39" t="s">
        <v>206</v>
      </c>
      <c r="F133" s="39"/>
      <c r="G133" s="39"/>
      <c r="H133" s="39">
        <v>1609.79</v>
      </c>
      <c r="I133" s="39"/>
      <c r="J133" s="39" t="s">
        <v>280</v>
      </c>
      <c r="K133" s="39" t="s">
        <v>367</v>
      </c>
      <c r="L133" s="39" t="s">
        <v>290</v>
      </c>
      <c r="M133" s="39">
        <v>0.1474</v>
      </c>
      <c r="N133" s="39">
        <v>2.24E-2</v>
      </c>
      <c r="O133" s="39" t="s">
        <v>282</v>
      </c>
      <c r="P133" s="39" t="s">
        <v>283</v>
      </c>
    </row>
    <row r="134" spans="1:16" ht="60" x14ac:dyDescent="0.25">
      <c r="A134" s="39" t="s">
        <v>279</v>
      </c>
      <c r="B134" s="39" t="s">
        <v>356</v>
      </c>
      <c r="C134" s="39">
        <v>18</v>
      </c>
      <c r="D134" s="39">
        <v>46038</v>
      </c>
      <c r="E134" s="39" t="s">
        <v>208</v>
      </c>
      <c r="F134" s="39"/>
      <c r="G134" s="39">
        <v>1</v>
      </c>
      <c r="H134" s="39">
        <v>31901.64</v>
      </c>
      <c r="I134" s="39">
        <v>12295.08</v>
      </c>
      <c r="J134" s="39" t="s">
        <v>275</v>
      </c>
      <c r="K134" s="39" t="s">
        <v>368</v>
      </c>
      <c r="L134" s="39" t="s">
        <v>369</v>
      </c>
      <c r="M134" s="39">
        <v>0.14829999999999999</v>
      </c>
      <c r="N134" s="39">
        <v>1.6000000000000001E-3</v>
      </c>
      <c r="O134" s="39" t="s">
        <v>277</v>
      </c>
      <c r="P134" s="39" t="s">
        <v>283</v>
      </c>
    </row>
    <row r="135" spans="1:16" ht="30" x14ac:dyDescent="0.25">
      <c r="A135" s="39" t="s">
        <v>279</v>
      </c>
      <c r="B135" s="39" t="s">
        <v>356</v>
      </c>
      <c r="C135" s="39">
        <v>19</v>
      </c>
      <c r="D135" s="39">
        <v>46069</v>
      </c>
      <c r="E135" s="39" t="s">
        <v>209</v>
      </c>
      <c r="F135" s="39" t="s">
        <v>210</v>
      </c>
      <c r="G135" s="39">
        <v>1</v>
      </c>
      <c r="H135" s="39">
        <v>28553.35</v>
      </c>
      <c r="I135" s="39">
        <v>2800</v>
      </c>
      <c r="J135" s="39" t="s">
        <v>342</v>
      </c>
      <c r="K135" s="39" t="s">
        <v>370</v>
      </c>
      <c r="L135" s="39" t="s">
        <v>371</v>
      </c>
      <c r="M135" s="39">
        <v>0.15129999999999999</v>
      </c>
      <c r="N135" s="39">
        <v>0</v>
      </c>
      <c r="O135" s="39" t="s">
        <v>282</v>
      </c>
      <c r="P135" s="39" t="s">
        <v>283</v>
      </c>
    </row>
    <row r="136" spans="1:16" ht="30" x14ac:dyDescent="0.25">
      <c r="A136" s="39" t="s">
        <v>279</v>
      </c>
      <c r="B136" s="39" t="s">
        <v>356</v>
      </c>
      <c r="C136" s="39">
        <v>20</v>
      </c>
      <c r="D136" s="39">
        <v>46097</v>
      </c>
      <c r="E136" s="39" t="s">
        <v>211</v>
      </c>
      <c r="F136" s="39"/>
      <c r="G136" s="39">
        <v>1</v>
      </c>
      <c r="H136" s="39">
        <v>28553.35</v>
      </c>
      <c r="I136" s="39">
        <v>2800</v>
      </c>
      <c r="J136" s="39" t="s">
        <v>342</v>
      </c>
      <c r="K136" s="39" t="s">
        <v>370</v>
      </c>
      <c r="L136" s="39" t="s">
        <v>371</v>
      </c>
      <c r="M136" s="39">
        <v>0.16550000000000001</v>
      </c>
      <c r="N136" s="39">
        <v>4.3E-3</v>
      </c>
      <c r="O136" s="39" t="s">
        <v>282</v>
      </c>
      <c r="P136" s="39" t="s">
        <v>283</v>
      </c>
    </row>
    <row r="137" spans="1:16" ht="30" x14ac:dyDescent="0.25">
      <c r="A137" s="39" t="s">
        <v>279</v>
      </c>
      <c r="B137" s="39" t="s">
        <v>356</v>
      </c>
      <c r="C137" s="39">
        <v>21</v>
      </c>
      <c r="D137" s="39">
        <v>46128</v>
      </c>
      <c r="E137" s="39" t="s">
        <v>212</v>
      </c>
      <c r="F137" s="39" t="s">
        <v>213</v>
      </c>
      <c r="G137" s="39">
        <v>1</v>
      </c>
      <c r="H137" s="39">
        <v>1500.36</v>
      </c>
      <c r="I137" s="39">
        <v>3000</v>
      </c>
      <c r="J137" s="39" t="s">
        <v>285</v>
      </c>
      <c r="K137" s="39" t="s">
        <v>372</v>
      </c>
      <c r="L137" s="39" t="s">
        <v>373</v>
      </c>
      <c r="M137" s="39">
        <v>0.24179999999999999</v>
      </c>
      <c r="N137" s="39">
        <v>1.18E-2</v>
      </c>
      <c r="O137" s="39" t="s">
        <v>282</v>
      </c>
      <c r="P137" s="39" t="s">
        <v>283</v>
      </c>
    </row>
    <row r="138" spans="1:16" ht="30" x14ac:dyDescent="0.25">
      <c r="A138" s="39" t="s">
        <v>279</v>
      </c>
      <c r="B138" s="39" t="s">
        <v>356</v>
      </c>
      <c r="C138" s="39">
        <v>22</v>
      </c>
      <c r="D138" s="39">
        <v>46158</v>
      </c>
      <c r="E138" s="39" t="s">
        <v>215</v>
      </c>
      <c r="F138" s="39"/>
      <c r="G138" s="39">
        <v>1</v>
      </c>
      <c r="H138" s="39">
        <v>50</v>
      </c>
      <c r="I138" s="39">
        <v>750</v>
      </c>
      <c r="J138" s="39" t="s">
        <v>280</v>
      </c>
      <c r="K138" s="39" t="s">
        <v>374</v>
      </c>
      <c r="L138" s="39" t="s">
        <v>375</v>
      </c>
      <c r="M138" s="39">
        <v>0.17319999999999999</v>
      </c>
      <c r="N138" s="39">
        <v>3.2000000000000002E-3</v>
      </c>
      <c r="O138" s="39" t="s">
        <v>282</v>
      </c>
      <c r="P138" s="39" t="s">
        <v>283</v>
      </c>
    </row>
    <row r="139" spans="1:16" ht="30" x14ac:dyDescent="0.25">
      <c r="A139" s="39" t="s">
        <v>279</v>
      </c>
      <c r="B139" s="39" t="s">
        <v>356</v>
      </c>
      <c r="C139" s="39">
        <v>23</v>
      </c>
      <c r="D139" s="39">
        <v>46189</v>
      </c>
      <c r="E139" s="39" t="s">
        <v>216</v>
      </c>
      <c r="F139" s="39"/>
      <c r="G139" s="39">
        <v>1</v>
      </c>
      <c r="H139" s="39">
        <v>77.94</v>
      </c>
      <c r="I139" s="39">
        <v>100</v>
      </c>
      <c r="J139" s="39" t="s">
        <v>342</v>
      </c>
      <c r="K139" s="39" t="s">
        <v>376</v>
      </c>
      <c r="L139" s="39" t="s">
        <v>377</v>
      </c>
      <c r="M139" s="39">
        <v>0.28189999999999998</v>
      </c>
      <c r="N139" s="39">
        <v>4.5499999999999999E-2</v>
      </c>
      <c r="O139" s="39" t="s">
        <v>282</v>
      </c>
      <c r="P139" s="39" t="s">
        <v>283</v>
      </c>
    </row>
    <row r="140" spans="1:16" ht="30" x14ac:dyDescent="0.25">
      <c r="A140" s="39" t="s">
        <v>279</v>
      </c>
      <c r="B140" s="39" t="s">
        <v>356</v>
      </c>
      <c r="C140" s="39">
        <v>24</v>
      </c>
      <c r="D140" s="39">
        <v>17</v>
      </c>
      <c r="E140" s="39" t="s">
        <v>217</v>
      </c>
      <c r="F140" s="39" t="s">
        <v>218</v>
      </c>
      <c r="G140" s="39">
        <v>203</v>
      </c>
      <c r="H140" s="39">
        <v>1044.26</v>
      </c>
      <c r="I140" s="39">
        <v>1024.5899999999999</v>
      </c>
      <c r="J140" s="39" t="s">
        <v>275</v>
      </c>
      <c r="K140" s="39" t="s">
        <v>354</v>
      </c>
      <c r="L140" s="39" t="s">
        <v>355</v>
      </c>
      <c r="M140" s="39">
        <v>0.23860000000000001</v>
      </c>
      <c r="N140" s="39">
        <v>6.8599999999999994E-2</v>
      </c>
      <c r="O140" s="39" t="s">
        <v>277</v>
      </c>
      <c r="P140" s="39" t="s">
        <v>283</v>
      </c>
    </row>
    <row r="141" spans="1:16" ht="30" x14ac:dyDescent="0.25">
      <c r="A141" s="39" t="s">
        <v>279</v>
      </c>
      <c r="B141" s="39" t="s">
        <v>356</v>
      </c>
      <c r="C141" s="39">
        <v>25</v>
      </c>
      <c r="D141" s="39">
        <v>18</v>
      </c>
      <c r="E141" s="39" t="s">
        <v>220</v>
      </c>
      <c r="F141" s="39"/>
      <c r="G141" s="39">
        <v>203</v>
      </c>
      <c r="H141" s="39">
        <v>443.1</v>
      </c>
      <c r="I141" s="39">
        <v>800</v>
      </c>
      <c r="J141" s="39" t="s">
        <v>298</v>
      </c>
      <c r="K141" s="39" t="s">
        <v>378</v>
      </c>
      <c r="L141" s="39" t="s">
        <v>379</v>
      </c>
      <c r="M141" s="39">
        <v>0.17</v>
      </c>
      <c r="N141" s="39">
        <v>4.4999999999999997E-3</v>
      </c>
      <c r="O141" s="39" t="s">
        <v>282</v>
      </c>
      <c r="P141" s="39" t="s">
        <v>283</v>
      </c>
    </row>
    <row r="142" spans="1:16" ht="30" x14ac:dyDescent="0.25">
      <c r="A142" s="39" t="s">
        <v>279</v>
      </c>
      <c r="B142" s="39" t="s">
        <v>356</v>
      </c>
      <c r="C142" s="39">
        <v>26</v>
      </c>
      <c r="D142" s="39">
        <v>19</v>
      </c>
      <c r="E142" s="39" t="s">
        <v>221</v>
      </c>
      <c r="F142" s="39"/>
      <c r="G142" s="39">
        <v>203</v>
      </c>
      <c r="H142" s="39">
        <v>1554.92</v>
      </c>
      <c r="I142" s="39">
        <v>204.92</v>
      </c>
      <c r="J142" s="39" t="s">
        <v>275</v>
      </c>
      <c r="K142" s="39" t="s">
        <v>380</v>
      </c>
      <c r="L142" s="39" t="s">
        <v>381</v>
      </c>
      <c r="M142" s="39">
        <v>0.19739999999999999</v>
      </c>
      <c r="N142" s="39">
        <v>1.6299999999999999E-2</v>
      </c>
      <c r="O142" s="39" t="s">
        <v>277</v>
      </c>
      <c r="P142" s="39" t="s">
        <v>283</v>
      </c>
    </row>
    <row r="143" spans="1:16" ht="30" x14ac:dyDescent="0.25">
      <c r="A143" s="39" t="s">
        <v>279</v>
      </c>
      <c r="B143" s="39" t="s">
        <v>356</v>
      </c>
      <c r="C143" s="39">
        <v>27</v>
      </c>
      <c r="D143" s="39">
        <v>20</v>
      </c>
      <c r="E143" s="39" t="s">
        <v>222</v>
      </c>
      <c r="F143" s="39"/>
      <c r="G143" s="39"/>
      <c r="H143" s="39">
        <v>2657.97</v>
      </c>
      <c r="I143" s="39">
        <v>1000</v>
      </c>
      <c r="J143" s="39" t="s">
        <v>285</v>
      </c>
      <c r="K143" s="39" t="s">
        <v>382</v>
      </c>
      <c r="L143" s="39" t="s">
        <v>383</v>
      </c>
      <c r="M143" s="39">
        <v>0.14299999999999999</v>
      </c>
      <c r="N143" s="39">
        <v>6.1999999999999998E-3</v>
      </c>
      <c r="O143" s="39" t="s">
        <v>282</v>
      </c>
      <c r="P143" s="39" t="s">
        <v>283</v>
      </c>
    </row>
    <row r="144" spans="1:16" ht="30" x14ac:dyDescent="0.25">
      <c r="A144" s="39" t="s">
        <v>279</v>
      </c>
      <c r="B144" s="39" t="s">
        <v>356</v>
      </c>
      <c r="C144" s="39">
        <v>28</v>
      </c>
      <c r="D144" s="39">
        <v>46042</v>
      </c>
      <c r="E144" s="39" t="s">
        <v>223</v>
      </c>
      <c r="F144" s="39"/>
      <c r="G144" s="39">
        <v>76</v>
      </c>
      <c r="H144" s="39">
        <v>6.56</v>
      </c>
      <c r="I144" s="39">
        <v>8.1999999999999993</v>
      </c>
      <c r="J144" s="39" t="s">
        <v>275</v>
      </c>
      <c r="K144" s="39" t="s">
        <v>384</v>
      </c>
      <c r="L144" s="39"/>
      <c r="M144" s="39">
        <v>0.20799999999999999</v>
      </c>
      <c r="N144" s="39">
        <v>3.7999999999999999E-2</v>
      </c>
      <c r="O144" s="39" t="s">
        <v>277</v>
      </c>
      <c r="P144" s="39" t="s">
        <v>283</v>
      </c>
    </row>
    <row r="145" spans="1:16" ht="30" x14ac:dyDescent="0.25">
      <c r="A145" s="39" t="s">
        <v>279</v>
      </c>
      <c r="B145" s="39" t="s">
        <v>356</v>
      </c>
      <c r="C145" s="39">
        <v>29</v>
      </c>
      <c r="D145" s="39">
        <v>46073</v>
      </c>
      <c r="E145" s="39" t="s">
        <v>224</v>
      </c>
      <c r="F145" s="39" t="s">
        <v>225</v>
      </c>
      <c r="G145" s="39">
        <v>114</v>
      </c>
      <c r="H145" s="39">
        <v>350</v>
      </c>
      <c r="I145" s="39">
        <v>500</v>
      </c>
      <c r="J145" s="39" t="s">
        <v>303</v>
      </c>
      <c r="K145" s="39" t="s">
        <v>340</v>
      </c>
      <c r="L145" s="39" t="s">
        <v>341</v>
      </c>
      <c r="M145" s="39">
        <v>0.1333</v>
      </c>
      <c r="N145" s="39">
        <v>2.0999999999999999E-3</v>
      </c>
      <c r="O145" s="39" t="s">
        <v>282</v>
      </c>
      <c r="P145" s="39" t="s">
        <v>283</v>
      </c>
    </row>
    <row r="146" spans="1:16" ht="30" x14ac:dyDescent="0.25">
      <c r="A146" s="39" t="s">
        <v>279</v>
      </c>
      <c r="B146" s="39" t="s">
        <v>356</v>
      </c>
      <c r="C146" s="39">
        <v>30</v>
      </c>
      <c r="D146" s="39">
        <v>21</v>
      </c>
      <c r="E146" s="39" t="s">
        <v>226</v>
      </c>
      <c r="F146" s="39"/>
      <c r="G146" s="39"/>
      <c r="H146" s="39">
        <v>2657.97</v>
      </c>
      <c r="I146" s="39">
        <v>1000</v>
      </c>
      <c r="J146" s="39" t="s">
        <v>285</v>
      </c>
      <c r="K146" s="39" t="s">
        <v>382</v>
      </c>
      <c r="L146" s="39" t="s">
        <v>383</v>
      </c>
      <c r="M146" s="39">
        <v>0.153</v>
      </c>
      <c r="N146" s="39">
        <v>2.01E-2</v>
      </c>
      <c r="O146" s="39" t="s">
        <v>282</v>
      </c>
      <c r="P146" s="39" t="s">
        <v>283</v>
      </c>
    </row>
    <row r="147" spans="1:16" ht="30" x14ac:dyDescent="0.25">
      <c r="A147" s="39" t="s">
        <v>279</v>
      </c>
      <c r="B147" s="39" t="s">
        <v>356</v>
      </c>
      <c r="C147" s="39">
        <v>31</v>
      </c>
      <c r="D147" s="39">
        <v>46043</v>
      </c>
      <c r="E147" s="39" t="s">
        <v>227</v>
      </c>
      <c r="F147" s="39"/>
      <c r="G147" s="39">
        <v>80</v>
      </c>
      <c r="H147" s="39">
        <v>4830</v>
      </c>
      <c r="I147" s="39"/>
      <c r="J147" s="39" t="s">
        <v>303</v>
      </c>
      <c r="K147" s="39" t="s">
        <v>385</v>
      </c>
      <c r="L147" s="39" t="s">
        <v>305</v>
      </c>
      <c r="M147" s="39">
        <v>0.15909999999999999</v>
      </c>
      <c r="N147" s="39">
        <v>1.4999999999999999E-2</v>
      </c>
      <c r="O147" s="39" t="s">
        <v>282</v>
      </c>
      <c r="P147" s="39" t="s">
        <v>283</v>
      </c>
    </row>
    <row r="148" spans="1:16" ht="30" x14ac:dyDescent="0.25">
      <c r="A148" s="39" t="s">
        <v>279</v>
      </c>
      <c r="B148" s="39" t="s">
        <v>356</v>
      </c>
      <c r="C148" s="39">
        <v>32</v>
      </c>
      <c r="D148" s="39">
        <v>46074</v>
      </c>
      <c r="E148" s="39" t="s">
        <v>228</v>
      </c>
      <c r="F148" s="39"/>
      <c r="G148" s="39">
        <v>120</v>
      </c>
      <c r="H148" s="39">
        <v>1565.57</v>
      </c>
      <c r="I148" s="39">
        <v>573.77</v>
      </c>
      <c r="J148" s="39" t="s">
        <v>275</v>
      </c>
      <c r="K148" s="39" t="s">
        <v>320</v>
      </c>
      <c r="L148" s="39"/>
      <c r="M148" s="39">
        <v>0.28870000000000001</v>
      </c>
      <c r="N148" s="39">
        <v>5.3699999999999998E-2</v>
      </c>
      <c r="O148" s="39" t="s">
        <v>277</v>
      </c>
      <c r="P148" s="39" t="s">
        <v>283</v>
      </c>
    </row>
    <row r="149" spans="1:16" ht="30" x14ac:dyDescent="0.25">
      <c r="A149" s="39" t="s">
        <v>279</v>
      </c>
      <c r="B149" s="39" t="s">
        <v>356</v>
      </c>
      <c r="C149" s="39">
        <v>33</v>
      </c>
      <c r="D149" s="39">
        <v>46102</v>
      </c>
      <c r="E149" s="39" t="s">
        <v>229</v>
      </c>
      <c r="F149" s="39"/>
      <c r="G149" s="39">
        <v>960</v>
      </c>
      <c r="H149" s="39">
        <v>4.47</v>
      </c>
      <c r="I149" s="39">
        <v>8.1999999999999993</v>
      </c>
      <c r="J149" s="39" t="s">
        <v>275</v>
      </c>
      <c r="K149" s="39" t="s">
        <v>386</v>
      </c>
      <c r="L149" s="39" t="s">
        <v>387</v>
      </c>
      <c r="M149" s="39">
        <v>0.35039999999999999</v>
      </c>
      <c r="N149" s="39">
        <v>6.54E-2</v>
      </c>
      <c r="O149" s="39" t="s">
        <v>277</v>
      </c>
      <c r="P149" s="39" t="s">
        <v>283</v>
      </c>
    </row>
    <row r="150" spans="1:16" ht="30" x14ac:dyDescent="0.25">
      <c r="A150" s="39" t="s">
        <v>279</v>
      </c>
      <c r="B150" s="39" t="s">
        <v>356</v>
      </c>
      <c r="C150" s="39">
        <v>34</v>
      </c>
      <c r="D150" s="39">
        <v>46133</v>
      </c>
      <c r="E150" s="39" t="s">
        <v>230</v>
      </c>
      <c r="F150" s="39"/>
      <c r="G150" s="39">
        <v>80</v>
      </c>
      <c r="H150" s="39">
        <v>443.1</v>
      </c>
      <c r="I150" s="39">
        <v>800</v>
      </c>
      <c r="J150" s="39" t="s">
        <v>298</v>
      </c>
      <c r="K150" s="39" t="s">
        <v>378</v>
      </c>
      <c r="L150" s="39" t="s">
        <v>379</v>
      </c>
      <c r="M150" s="39">
        <v>0.1928</v>
      </c>
      <c r="N150" s="39">
        <v>1.7999999999999999E-2</v>
      </c>
      <c r="O150" s="39" t="s">
        <v>282</v>
      </c>
      <c r="P150" s="39" t="s">
        <v>283</v>
      </c>
    </row>
    <row r="151" spans="1:16" ht="30" x14ac:dyDescent="0.25">
      <c r="A151" s="39" t="s">
        <v>279</v>
      </c>
      <c r="B151" s="39" t="s">
        <v>356</v>
      </c>
      <c r="C151" s="39">
        <v>35</v>
      </c>
      <c r="D151" s="39">
        <v>22</v>
      </c>
      <c r="E151" s="39" t="s">
        <v>231</v>
      </c>
      <c r="F151" s="39"/>
      <c r="G151" s="39"/>
      <c r="H151" s="39">
        <v>2657.97</v>
      </c>
      <c r="I151" s="39">
        <v>1000</v>
      </c>
      <c r="J151" s="39" t="s">
        <v>285</v>
      </c>
      <c r="K151" s="39" t="s">
        <v>382</v>
      </c>
      <c r="L151" s="39" t="s">
        <v>383</v>
      </c>
      <c r="M151" s="39">
        <v>0.1555</v>
      </c>
      <c r="N151" s="39">
        <v>1.55E-2</v>
      </c>
      <c r="O151" s="39" t="s">
        <v>282</v>
      </c>
      <c r="P151" s="39" t="s">
        <v>283</v>
      </c>
    </row>
    <row r="152" spans="1:16" ht="30" x14ac:dyDescent="0.25">
      <c r="A152" s="39" t="s">
        <v>279</v>
      </c>
      <c r="B152" s="39" t="s">
        <v>356</v>
      </c>
      <c r="C152" s="39">
        <v>36</v>
      </c>
      <c r="D152" s="39">
        <v>46044</v>
      </c>
      <c r="E152" s="39" t="s">
        <v>232</v>
      </c>
      <c r="F152" s="39"/>
      <c r="G152" s="39">
        <v>700</v>
      </c>
      <c r="H152" s="39">
        <v>1565.57</v>
      </c>
      <c r="I152" s="39">
        <v>573.77</v>
      </c>
      <c r="J152" s="39" t="s">
        <v>275</v>
      </c>
      <c r="K152" s="39" t="s">
        <v>320</v>
      </c>
      <c r="L152" s="39"/>
      <c r="M152" s="39">
        <v>0.2387</v>
      </c>
      <c r="N152" s="39">
        <v>8.6999999999999994E-3</v>
      </c>
      <c r="O152" s="39" t="s">
        <v>277</v>
      </c>
      <c r="P152" s="39" t="s">
        <v>283</v>
      </c>
    </row>
    <row r="153" spans="1:16" ht="30" x14ac:dyDescent="0.25">
      <c r="A153" s="39" t="s">
        <v>279</v>
      </c>
      <c r="B153" s="39" t="s">
        <v>356</v>
      </c>
      <c r="C153" s="39">
        <v>37</v>
      </c>
      <c r="D153" s="39">
        <v>46075</v>
      </c>
      <c r="E153" s="39" t="s">
        <v>233</v>
      </c>
      <c r="F153" s="39"/>
      <c r="G153" s="39">
        <v>2800</v>
      </c>
      <c r="H153" s="39">
        <v>446.69</v>
      </c>
      <c r="I153" s="39">
        <v>10</v>
      </c>
      <c r="J153" s="39" t="s">
        <v>298</v>
      </c>
      <c r="K153" s="39" t="s">
        <v>388</v>
      </c>
      <c r="L153" s="39" t="s">
        <v>305</v>
      </c>
      <c r="M153" s="39">
        <v>0.2412</v>
      </c>
      <c r="N153" s="39">
        <v>6.3100000000000003E-2</v>
      </c>
      <c r="O153" s="39" t="s">
        <v>282</v>
      </c>
      <c r="P153" s="39" t="s">
        <v>283</v>
      </c>
    </row>
    <row r="154" spans="1:16" ht="30" x14ac:dyDescent="0.25">
      <c r="A154" s="39" t="s">
        <v>279</v>
      </c>
      <c r="B154" s="39" t="s">
        <v>356</v>
      </c>
      <c r="C154" s="39">
        <v>38</v>
      </c>
      <c r="D154" s="39">
        <v>46103</v>
      </c>
      <c r="E154" s="39" t="s">
        <v>234</v>
      </c>
      <c r="F154" s="39"/>
      <c r="G154" s="39">
        <v>700</v>
      </c>
      <c r="H154" s="39">
        <v>6.56</v>
      </c>
      <c r="I154" s="39">
        <v>8.1999999999999993</v>
      </c>
      <c r="J154" s="39" t="s">
        <v>275</v>
      </c>
      <c r="K154" s="39" t="s">
        <v>384</v>
      </c>
      <c r="L154" s="39"/>
      <c r="M154" s="39">
        <v>0.16800000000000001</v>
      </c>
      <c r="N154" s="39">
        <v>4.1999999999999997E-3</v>
      </c>
      <c r="O154" s="39" t="s">
        <v>277</v>
      </c>
      <c r="P154" s="39" t="s">
        <v>283</v>
      </c>
    </row>
    <row r="155" spans="1:16" ht="45" x14ac:dyDescent="0.25">
      <c r="A155" s="39" t="s">
        <v>279</v>
      </c>
      <c r="B155" s="39" t="s">
        <v>356</v>
      </c>
      <c r="C155" s="39">
        <v>39</v>
      </c>
      <c r="D155" s="39">
        <v>46134</v>
      </c>
      <c r="E155" s="39" t="s">
        <v>235</v>
      </c>
      <c r="F155" s="39"/>
      <c r="G155" s="39">
        <v>700</v>
      </c>
      <c r="H155" s="39">
        <v>13579</v>
      </c>
      <c r="I155" s="39">
        <v>5000</v>
      </c>
      <c r="J155" s="39" t="s">
        <v>298</v>
      </c>
      <c r="K155" s="39" t="s">
        <v>389</v>
      </c>
      <c r="L155" s="39" t="s">
        <v>390</v>
      </c>
      <c r="M155" s="39">
        <v>0.17599999999999999</v>
      </c>
      <c r="N155" s="39">
        <v>1.8700000000000001E-2</v>
      </c>
      <c r="O155" s="39" t="s">
        <v>282</v>
      </c>
      <c r="P155" s="39" t="s">
        <v>283</v>
      </c>
    </row>
    <row r="156" spans="1:16" ht="30" x14ac:dyDescent="0.25">
      <c r="A156" s="39" t="s">
        <v>279</v>
      </c>
      <c r="B156" s="39" t="s">
        <v>356</v>
      </c>
      <c r="C156" s="39">
        <v>40</v>
      </c>
      <c r="D156" s="39">
        <v>46164</v>
      </c>
      <c r="E156" s="39" t="s">
        <v>236</v>
      </c>
      <c r="F156" s="39"/>
      <c r="G156" s="39">
        <v>700</v>
      </c>
      <c r="H156" s="39">
        <v>1565.57</v>
      </c>
      <c r="I156" s="39">
        <v>573.77</v>
      </c>
      <c r="J156" s="39" t="s">
        <v>275</v>
      </c>
      <c r="K156" s="39" t="s">
        <v>320</v>
      </c>
      <c r="L156" s="39"/>
      <c r="M156" s="39">
        <v>0.22520000000000001</v>
      </c>
      <c r="N156" s="39">
        <v>2.8299999999999999E-2</v>
      </c>
      <c r="O156" s="39" t="s">
        <v>277</v>
      </c>
      <c r="P156" s="39" t="s">
        <v>283</v>
      </c>
    </row>
    <row r="157" spans="1:16" ht="30" x14ac:dyDescent="0.25">
      <c r="A157" s="39" t="s">
        <v>279</v>
      </c>
      <c r="B157" s="39" t="s">
        <v>356</v>
      </c>
      <c r="C157" s="39">
        <v>41</v>
      </c>
      <c r="D157" s="39">
        <v>23</v>
      </c>
      <c r="E157" s="39" t="s">
        <v>237</v>
      </c>
      <c r="F157" s="39"/>
      <c r="G157" s="39">
        <v>420.75</v>
      </c>
      <c r="H157" s="39">
        <v>2600</v>
      </c>
      <c r="I157" s="39">
        <v>2500</v>
      </c>
      <c r="J157" s="39" t="s">
        <v>285</v>
      </c>
      <c r="K157" s="39" t="s">
        <v>391</v>
      </c>
      <c r="L157" s="39" t="s">
        <v>392</v>
      </c>
      <c r="M157" s="39">
        <v>0.1077</v>
      </c>
      <c r="N157" s="39">
        <v>2.7000000000000001E-3</v>
      </c>
      <c r="O157" s="39" t="s">
        <v>282</v>
      </c>
      <c r="P157" s="39" t="s">
        <v>283</v>
      </c>
    </row>
    <row r="158" spans="1:16" ht="30" x14ac:dyDescent="0.25">
      <c r="A158" s="39" t="s">
        <v>279</v>
      </c>
      <c r="B158" s="39" t="s">
        <v>356</v>
      </c>
      <c r="C158" s="39">
        <v>42</v>
      </c>
      <c r="D158" s="39">
        <v>24</v>
      </c>
      <c r="E158" s="39" t="s">
        <v>239</v>
      </c>
      <c r="F158" s="39"/>
      <c r="G158" s="39">
        <v>787.11</v>
      </c>
      <c r="H158" s="39">
        <v>264.63</v>
      </c>
      <c r="I158" s="39">
        <v>1000</v>
      </c>
      <c r="J158" s="39" t="s">
        <v>280</v>
      </c>
      <c r="K158" s="39" t="s">
        <v>393</v>
      </c>
      <c r="L158" s="39" t="s">
        <v>394</v>
      </c>
      <c r="M158" s="39">
        <v>0.21</v>
      </c>
      <c r="N158" s="39">
        <v>3.5000000000000003E-2</v>
      </c>
      <c r="O158" s="39" t="s">
        <v>282</v>
      </c>
      <c r="P158" s="39" t="s">
        <v>283</v>
      </c>
    </row>
    <row r="159" spans="1:16" ht="30" x14ac:dyDescent="0.25">
      <c r="A159" s="39" t="s">
        <v>279</v>
      </c>
      <c r="B159" s="39" t="s">
        <v>356</v>
      </c>
      <c r="C159" s="39">
        <v>43</v>
      </c>
      <c r="D159" s="39">
        <v>25</v>
      </c>
      <c r="E159" s="39" t="s">
        <v>240</v>
      </c>
      <c r="F159" s="39"/>
      <c r="G159" s="39">
        <v>1</v>
      </c>
      <c r="H159" s="39">
        <v>25000</v>
      </c>
      <c r="I159" s="39">
        <v>0</v>
      </c>
      <c r="J159" s="39" t="s">
        <v>342</v>
      </c>
      <c r="K159" s="39" t="s">
        <v>145</v>
      </c>
      <c r="L159" s="39" t="s">
        <v>305</v>
      </c>
      <c r="M159" s="39">
        <v>0.38100000000000001</v>
      </c>
      <c r="N159" s="39">
        <v>0</v>
      </c>
      <c r="O159" s="39" t="s">
        <v>282</v>
      </c>
      <c r="P159" s="39" t="s">
        <v>283</v>
      </c>
    </row>
    <row r="160" spans="1:16" ht="30" x14ac:dyDescent="0.25">
      <c r="A160" s="39" t="s">
        <v>279</v>
      </c>
      <c r="B160" s="39" t="s">
        <v>356</v>
      </c>
      <c r="C160" s="39">
        <v>44</v>
      </c>
      <c r="D160" s="39">
        <v>26</v>
      </c>
      <c r="E160" s="39" t="s">
        <v>241</v>
      </c>
      <c r="F160" s="39" t="s">
        <v>184</v>
      </c>
      <c r="G160" s="39">
        <v>1</v>
      </c>
      <c r="H160" s="39">
        <v>29.32</v>
      </c>
      <c r="I160" s="39">
        <v>0</v>
      </c>
      <c r="J160" s="39" t="s">
        <v>280</v>
      </c>
      <c r="K160" s="39" t="s">
        <v>310</v>
      </c>
      <c r="L160" s="39" t="s">
        <v>311</v>
      </c>
      <c r="M160" s="39">
        <v>0.1767</v>
      </c>
      <c r="N160" s="39">
        <v>4.8999999999999998E-3</v>
      </c>
      <c r="O160" s="39" t="s">
        <v>282</v>
      </c>
      <c r="P160" s="39" t="s">
        <v>283</v>
      </c>
    </row>
    <row r="161" spans="1:16" ht="30" x14ac:dyDescent="0.25">
      <c r="A161" s="39" t="s">
        <v>279</v>
      </c>
      <c r="B161" s="39" t="s">
        <v>356</v>
      </c>
      <c r="C161" s="39">
        <v>45</v>
      </c>
      <c r="D161" s="39">
        <v>27</v>
      </c>
      <c r="E161" s="39" t="s">
        <v>243</v>
      </c>
      <c r="F161" s="39"/>
      <c r="G161" s="39">
        <v>0.2</v>
      </c>
      <c r="H161" s="39">
        <v>85999</v>
      </c>
      <c r="I161" s="39">
        <v>25000</v>
      </c>
      <c r="J161" s="39" t="s">
        <v>303</v>
      </c>
      <c r="K161" s="39" t="s">
        <v>395</v>
      </c>
      <c r="L161" s="39" t="s">
        <v>396</v>
      </c>
      <c r="M161" s="39">
        <v>0.15</v>
      </c>
      <c r="N161" s="39">
        <v>8.9999999999999998E-4</v>
      </c>
      <c r="O161" s="39" t="s">
        <v>282</v>
      </c>
      <c r="P161" s="39" t="s">
        <v>283</v>
      </c>
    </row>
    <row r="162" spans="1:16" ht="30" x14ac:dyDescent="0.25">
      <c r="A162" s="39" t="s">
        <v>279</v>
      </c>
      <c r="B162" s="39" t="s">
        <v>356</v>
      </c>
      <c r="C162" s="39">
        <v>46</v>
      </c>
      <c r="D162" s="39">
        <v>28</v>
      </c>
      <c r="E162" s="39" t="s">
        <v>246</v>
      </c>
      <c r="F162" s="39"/>
      <c r="G162" s="39">
        <v>1</v>
      </c>
      <c r="H162" s="39">
        <v>2600</v>
      </c>
      <c r="I162" s="39">
        <v>2500</v>
      </c>
      <c r="J162" s="39" t="s">
        <v>285</v>
      </c>
      <c r="K162" s="39" t="s">
        <v>391</v>
      </c>
      <c r="L162" s="39" t="s">
        <v>392</v>
      </c>
      <c r="M162" s="39">
        <v>0.2019</v>
      </c>
      <c r="N162" s="39">
        <v>3.2099999999999997E-2</v>
      </c>
      <c r="O162" s="39" t="s">
        <v>282</v>
      </c>
      <c r="P162" s="39" t="s">
        <v>283</v>
      </c>
    </row>
    <row r="163" spans="1:16" ht="45" x14ac:dyDescent="0.25">
      <c r="A163" s="39" t="s">
        <v>279</v>
      </c>
      <c r="B163" s="39" t="s">
        <v>356</v>
      </c>
      <c r="C163" s="39">
        <v>48</v>
      </c>
      <c r="D163" s="39">
        <v>1</v>
      </c>
      <c r="E163" s="39" t="s">
        <v>248</v>
      </c>
      <c r="F163" s="39" t="s">
        <v>249</v>
      </c>
      <c r="G163" s="39">
        <v>1</v>
      </c>
      <c r="H163" s="39">
        <v>50</v>
      </c>
      <c r="I163" s="39">
        <v>750</v>
      </c>
      <c r="J163" s="39" t="s">
        <v>280</v>
      </c>
      <c r="K163" s="39" t="s">
        <v>374</v>
      </c>
      <c r="L163" s="39" t="s">
        <v>375</v>
      </c>
      <c r="M163" s="39">
        <v>0.33410000000000001</v>
      </c>
      <c r="N163" s="39">
        <v>0.20480000000000001</v>
      </c>
      <c r="O163" s="39" t="s">
        <v>282</v>
      </c>
      <c r="P163" s="39" t="s">
        <v>283</v>
      </c>
    </row>
    <row r="164" spans="1:16" ht="45" x14ac:dyDescent="0.25">
      <c r="A164" s="39" t="s">
        <v>279</v>
      </c>
      <c r="B164" s="39" t="s">
        <v>356</v>
      </c>
      <c r="C164" s="39">
        <v>49</v>
      </c>
      <c r="D164" s="39">
        <v>2</v>
      </c>
      <c r="E164" s="39" t="s">
        <v>252</v>
      </c>
      <c r="F164" s="39"/>
      <c r="G164" s="39">
        <v>2</v>
      </c>
      <c r="H164" s="39">
        <v>32458.87</v>
      </c>
      <c r="I164" s="39"/>
      <c r="J164" s="39" t="s">
        <v>285</v>
      </c>
      <c r="K164" s="39" t="s">
        <v>151</v>
      </c>
      <c r="L164" s="39"/>
      <c r="M164" s="39">
        <v>0.12790000000000001</v>
      </c>
      <c r="N164" s="39">
        <v>0</v>
      </c>
      <c r="O164" s="39" t="s">
        <v>282</v>
      </c>
      <c r="P164" s="39" t="s">
        <v>283</v>
      </c>
    </row>
    <row r="165" spans="1:16" ht="30" x14ac:dyDescent="0.25">
      <c r="A165" s="39" t="s">
        <v>279</v>
      </c>
      <c r="B165" s="39" t="s">
        <v>356</v>
      </c>
      <c r="C165" s="39">
        <v>50</v>
      </c>
      <c r="D165" s="39">
        <v>3</v>
      </c>
      <c r="E165" s="39" t="s">
        <v>253</v>
      </c>
      <c r="F165" s="39" t="s">
        <v>254</v>
      </c>
      <c r="G165" s="39">
        <v>2</v>
      </c>
      <c r="H165" s="39">
        <v>15048.52</v>
      </c>
      <c r="I165" s="39">
        <v>10245.9</v>
      </c>
      <c r="J165" s="39" t="s">
        <v>291</v>
      </c>
      <c r="K165" s="39" t="s">
        <v>25</v>
      </c>
      <c r="L165" s="39" t="s">
        <v>292</v>
      </c>
      <c r="M165" s="39">
        <v>0.20250000000000001</v>
      </c>
      <c r="N165" s="39">
        <v>4.0000000000000001E-3</v>
      </c>
      <c r="O165" s="39" t="s">
        <v>277</v>
      </c>
      <c r="P165" s="39" t="s">
        <v>283</v>
      </c>
    </row>
    <row r="166" spans="1:16" ht="30" x14ac:dyDescent="0.25">
      <c r="A166" s="39" t="s">
        <v>279</v>
      </c>
      <c r="B166" s="39" t="s">
        <v>356</v>
      </c>
      <c r="C166" s="39">
        <v>51</v>
      </c>
      <c r="D166" s="39">
        <v>4</v>
      </c>
      <c r="E166" s="39" t="s">
        <v>255</v>
      </c>
      <c r="F166" s="39" t="s">
        <v>184</v>
      </c>
      <c r="G166" s="39">
        <v>10</v>
      </c>
      <c r="H166" s="39">
        <v>29.32</v>
      </c>
      <c r="I166" s="39">
        <v>0</v>
      </c>
      <c r="J166" s="39" t="s">
        <v>280</v>
      </c>
      <c r="K166" s="39" t="s">
        <v>310</v>
      </c>
      <c r="L166" s="39" t="s">
        <v>311</v>
      </c>
      <c r="M166" s="39">
        <v>0.1767</v>
      </c>
      <c r="N166" s="39">
        <v>3.5000000000000001E-3</v>
      </c>
      <c r="O166" s="39" t="s">
        <v>282</v>
      </c>
      <c r="P166" s="39" t="s">
        <v>283</v>
      </c>
    </row>
    <row r="167" spans="1:16" ht="30" x14ac:dyDescent="0.25">
      <c r="A167" s="39" t="s">
        <v>279</v>
      </c>
      <c r="B167" s="39" t="s">
        <v>356</v>
      </c>
      <c r="C167" s="39">
        <v>52</v>
      </c>
      <c r="D167" s="39">
        <v>5</v>
      </c>
      <c r="E167" s="39" t="s">
        <v>256</v>
      </c>
      <c r="F167" s="39" t="s">
        <v>257</v>
      </c>
      <c r="G167" s="39">
        <v>6</v>
      </c>
      <c r="H167" s="39">
        <v>0</v>
      </c>
      <c r="I167" s="39">
        <v>0</v>
      </c>
      <c r="J167" s="39" t="s">
        <v>303</v>
      </c>
      <c r="K167" s="39" t="s">
        <v>397</v>
      </c>
      <c r="L167" s="39" t="s">
        <v>305</v>
      </c>
      <c r="M167" s="39">
        <v>0.1651</v>
      </c>
      <c r="N167" s="39">
        <v>1.8E-3</v>
      </c>
      <c r="O167" s="39" t="s">
        <v>282</v>
      </c>
      <c r="P167" s="39" t="s">
        <v>283</v>
      </c>
    </row>
    <row r="168" spans="1:16" ht="30" x14ac:dyDescent="0.25">
      <c r="A168" s="39" t="s">
        <v>279</v>
      </c>
      <c r="B168" s="39" t="s">
        <v>356</v>
      </c>
      <c r="C168" s="39">
        <v>53</v>
      </c>
      <c r="D168" s="39">
        <v>6</v>
      </c>
      <c r="E168" s="39" t="s">
        <v>240</v>
      </c>
      <c r="F168" s="39"/>
      <c r="G168" s="39">
        <v>1</v>
      </c>
      <c r="H168" s="39">
        <v>25000</v>
      </c>
      <c r="I168" s="39">
        <v>0</v>
      </c>
      <c r="J168" s="39" t="s">
        <v>342</v>
      </c>
      <c r="K168" s="39" t="s">
        <v>145</v>
      </c>
      <c r="L168" s="39" t="s">
        <v>305</v>
      </c>
      <c r="M168" s="39">
        <v>0.38100000000000001</v>
      </c>
      <c r="N168" s="39">
        <v>0</v>
      </c>
      <c r="O168" s="39" t="s">
        <v>282</v>
      </c>
      <c r="P168" s="39" t="s">
        <v>283</v>
      </c>
    </row>
    <row r="169" spans="1:16" ht="30" x14ac:dyDescent="0.25">
      <c r="A169" s="39" t="s">
        <v>279</v>
      </c>
      <c r="B169" s="39" t="s">
        <v>356</v>
      </c>
      <c r="C169" s="39">
        <v>54</v>
      </c>
      <c r="D169" s="39">
        <v>7</v>
      </c>
      <c r="E169" s="39" t="s">
        <v>237</v>
      </c>
      <c r="F169" s="39"/>
      <c r="G169" s="39">
        <v>2.95</v>
      </c>
      <c r="H169" s="39">
        <v>2600</v>
      </c>
      <c r="I169" s="39">
        <v>2500</v>
      </c>
      <c r="J169" s="39" t="s">
        <v>285</v>
      </c>
      <c r="K169" s="39" t="s">
        <v>391</v>
      </c>
      <c r="L169" s="39" t="s">
        <v>392</v>
      </c>
      <c r="M169" s="39">
        <v>0.1077</v>
      </c>
      <c r="N169" s="39">
        <v>2.7000000000000001E-3</v>
      </c>
      <c r="O169" s="39" t="s">
        <v>282</v>
      </c>
      <c r="P169" s="39" t="s">
        <v>283</v>
      </c>
    </row>
    <row r="170" spans="1:16" ht="30" x14ac:dyDescent="0.25">
      <c r="A170" s="39" t="s">
        <v>279</v>
      </c>
      <c r="B170" s="39" t="s">
        <v>356</v>
      </c>
      <c r="C170" s="39">
        <v>55</v>
      </c>
      <c r="D170" s="39">
        <v>8</v>
      </c>
      <c r="E170" s="39" t="s">
        <v>239</v>
      </c>
      <c r="F170" s="39"/>
      <c r="G170" s="39">
        <v>5.53</v>
      </c>
      <c r="H170" s="39">
        <v>264.63</v>
      </c>
      <c r="I170" s="39">
        <v>1000</v>
      </c>
      <c r="J170" s="39" t="s">
        <v>280</v>
      </c>
      <c r="K170" s="39" t="s">
        <v>393</v>
      </c>
      <c r="L170" s="39" t="s">
        <v>394</v>
      </c>
      <c r="M170" s="39">
        <v>0.21</v>
      </c>
      <c r="N170" s="39">
        <v>3.5000000000000003E-2</v>
      </c>
      <c r="O170" s="39" t="s">
        <v>282</v>
      </c>
      <c r="P170" s="39" t="s">
        <v>283</v>
      </c>
    </row>
    <row r="171" spans="1:16" ht="30" x14ac:dyDescent="0.25">
      <c r="A171" s="39" t="s">
        <v>279</v>
      </c>
      <c r="B171" s="39" t="s">
        <v>356</v>
      </c>
      <c r="C171" s="39">
        <v>57</v>
      </c>
      <c r="D171" s="39">
        <v>1</v>
      </c>
      <c r="E171" s="39" t="s">
        <v>148</v>
      </c>
      <c r="F171" s="39" t="s">
        <v>149</v>
      </c>
      <c r="G171" s="39">
        <v>1</v>
      </c>
      <c r="H171" s="39"/>
      <c r="I171" s="39"/>
      <c r="J171" s="39" t="s">
        <v>291</v>
      </c>
      <c r="K171" s="39" t="s">
        <v>347</v>
      </c>
      <c r="L171" s="39"/>
      <c r="M171" s="39">
        <v>0.32500000000000001</v>
      </c>
      <c r="N171" s="39">
        <v>0.1918</v>
      </c>
      <c r="O171" s="39" t="s">
        <v>277</v>
      </c>
      <c r="P171" s="39" t="s">
        <v>283</v>
      </c>
    </row>
    <row r="172" spans="1:16" ht="30" x14ac:dyDescent="0.25">
      <c r="A172" s="39" t="s">
        <v>279</v>
      </c>
      <c r="B172" s="39" t="s">
        <v>356</v>
      </c>
      <c r="C172" s="39">
        <v>58</v>
      </c>
      <c r="D172" s="39">
        <v>2</v>
      </c>
      <c r="E172" s="39" t="s">
        <v>150</v>
      </c>
      <c r="F172" s="39"/>
      <c r="G172" s="39">
        <v>1</v>
      </c>
      <c r="H172" s="39">
        <v>48688.31</v>
      </c>
      <c r="I172" s="39"/>
      <c r="J172" s="39" t="s">
        <v>285</v>
      </c>
      <c r="K172" s="39" t="s">
        <v>150</v>
      </c>
      <c r="L172" s="39"/>
      <c r="M172" s="39">
        <v>0.6</v>
      </c>
      <c r="N172" s="39">
        <v>0</v>
      </c>
      <c r="O172" s="39" t="s">
        <v>282</v>
      </c>
      <c r="P172" s="39" t="s">
        <v>283</v>
      </c>
    </row>
    <row r="173" spans="1:16" ht="30" x14ac:dyDescent="0.25">
      <c r="A173" s="39" t="s">
        <v>279</v>
      </c>
      <c r="B173" s="39" t="s">
        <v>356</v>
      </c>
      <c r="C173" s="39">
        <v>59</v>
      </c>
      <c r="D173" s="39">
        <v>3</v>
      </c>
      <c r="E173" s="39" t="s">
        <v>151</v>
      </c>
      <c r="F173" s="39"/>
      <c r="G173" s="39">
        <v>1</v>
      </c>
      <c r="H173" s="39">
        <v>32458.87</v>
      </c>
      <c r="I173" s="39"/>
      <c r="J173" s="39" t="s">
        <v>285</v>
      </c>
      <c r="K173" s="39" t="s">
        <v>151</v>
      </c>
      <c r="L173" s="39"/>
      <c r="M173" s="39">
        <v>0.6</v>
      </c>
      <c r="N173" s="39">
        <v>0</v>
      </c>
      <c r="O173" s="39" t="s">
        <v>282</v>
      </c>
      <c r="P173" s="39" t="s">
        <v>283</v>
      </c>
    </row>
    <row r="174" spans="1:16" ht="30" x14ac:dyDescent="0.25">
      <c r="A174" s="39" t="s">
        <v>279</v>
      </c>
      <c r="B174" s="39" t="s">
        <v>356</v>
      </c>
      <c r="C174" s="39">
        <v>60</v>
      </c>
      <c r="D174" s="39">
        <v>4</v>
      </c>
      <c r="E174" s="39" t="s">
        <v>152</v>
      </c>
      <c r="F174" s="39"/>
      <c r="G174" s="39">
        <v>1</v>
      </c>
      <c r="H174" s="39">
        <v>71694</v>
      </c>
      <c r="I174" s="39"/>
      <c r="J174" s="39" t="s">
        <v>285</v>
      </c>
      <c r="K174" s="39" t="s">
        <v>152</v>
      </c>
      <c r="L174" s="39"/>
      <c r="M174" s="39">
        <v>0.6</v>
      </c>
      <c r="N174" s="39">
        <v>0</v>
      </c>
      <c r="O174" s="39" t="s">
        <v>282</v>
      </c>
      <c r="P174" s="39" t="s">
        <v>283</v>
      </c>
    </row>
    <row r="175" spans="1:16" ht="30" x14ac:dyDescent="0.25">
      <c r="A175" s="39" t="s">
        <v>279</v>
      </c>
      <c r="B175" s="39" t="s">
        <v>356</v>
      </c>
      <c r="C175" s="39">
        <v>61</v>
      </c>
      <c r="D175" s="39">
        <v>5</v>
      </c>
      <c r="E175" s="39" t="s">
        <v>153</v>
      </c>
      <c r="F175" s="39"/>
      <c r="G175" s="39">
        <v>1</v>
      </c>
      <c r="H175" s="39">
        <v>56356.87</v>
      </c>
      <c r="I175" s="39"/>
      <c r="J175" s="39" t="s">
        <v>285</v>
      </c>
      <c r="K175" s="39" t="s">
        <v>153</v>
      </c>
      <c r="L175" s="39"/>
      <c r="M175" s="39">
        <v>0.6</v>
      </c>
      <c r="N175" s="39">
        <v>0</v>
      </c>
      <c r="O175" s="39" t="s">
        <v>282</v>
      </c>
      <c r="P175" s="39" t="s">
        <v>283</v>
      </c>
    </row>
    <row r="176" spans="1:16" ht="30" x14ac:dyDescent="0.25">
      <c r="A176" s="39" t="s">
        <v>279</v>
      </c>
      <c r="B176" s="39" t="s">
        <v>356</v>
      </c>
      <c r="C176" s="39">
        <v>62</v>
      </c>
      <c r="D176" s="39">
        <v>6</v>
      </c>
      <c r="E176" s="39" t="s">
        <v>154</v>
      </c>
      <c r="F176" s="39"/>
      <c r="G176" s="39">
        <v>1</v>
      </c>
      <c r="H176" s="39"/>
      <c r="I176" s="39"/>
      <c r="J176" s="39" t="s">
        <v>285</v>
      </c>
      <c r="K176" s="39" t="s">
        <v>316</v>
      </c>
      <c r="L176" s="39"/>
      <c r="M176" s="39">
        <v>0.6</v>
      </c>
      <c r="N176" s="39">
        <v>0</v>
      </c>
      <c r="O176" s="39" t="s">
        <v>282</v>
      </c>
      <c r="P176" s="39" t="s">
        <v>283</v>
      </c>
    </row>
    <row r="177" spans="1:16" ht="30" x14ac:dyDescent="0.25">
      <c r="A177" s="39" t="s">
        <v>279</v>
      </c>
      <c r="B177" s="39" t="s">
        <v>356</v>
      </c>
      <c r="C177" s="39">
        <v>63</v>
      </c>
      <c r="D177" s="39">
        <v>7</v>
      </c>
      <c r="E177" s="39" t="s">
        <v>155</v>
      </c>
      <c r="F177" s="39"/>
      <c r="G177" s="39"/>
      <c r="H177" s="39"/>
      <c r="I177" s="39"/>
      <c r="J177" s="39" t="s">
        <v>285</v>
      </c>
      <c r="K177" s="39" t="s">
        <v>155</v>
      </c>
      <c r="L177" s="39"/>
      <c r="M177" s="39">
        <v>0.56999999999999995</v>
      </c>
      <c r="N177" s="39">
        <v>0</v>
      </c>
      <c r="O177" s="39" t="s">
        <v>282</v>
      </c>
      <c r="P177" s="39" t="s">
        <v>283</v>
      </c>
    </row>
  </sheetData>
  <autoFilter ref="A1:P177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СПС СОУЭ АСПЗ</vt:lpstr>
      <vt:lpstr>АСПЗ АДУ</vt:lpstr>
      <vt:lpstr>АУП ПП</vt:lpstr>
      <vt:lpstr>Отчет сопоставления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Лазарев</dc:creator>
  <cp:lastModifiedBy>alexander lazarev</cp:lastModifiedBy>
  <cp:lastPrinted>2026-03-16T12:25:27Z</cp:lastPrinted>
  <dcterms:created xsi:type="dcterms:W3CDTF">2023-09-15T10:54:27Z</dcterms:created>
  <dcterms:modified xsi:type="dcterms:W3CDTF">2026-06-08T14:14:52Z</dcterms:modified>
</cp:coreProperties>
</file>